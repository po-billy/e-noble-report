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p1-8\Documents\하이웍스 받은파일\"/>
    </mc:Choice>
  </mc:AlternateContent>
  <xr:revisionPtr revIDLastSave="0" documentId="13_ncr:1_{95E957D6-E41A-4E38-B8F8-00B61B807468}" xr6:coauthVersionLast="47" xr6:coauthVersionMax="47" xr10:uidLastSave="{00000000-0000-0000-0000-000000000000}"/>
  <bookViews>
    <workbookView xWindow="-120" yWindow="-120" windowWidth="29040" windowHeight="15720" tabRatio="940" xr2:uid="{00000000-000D-0000-FFFF-FFFF00000000}"/>
  </bookViews>
  <sheets>
    <sheet name="파워링크_Summary" sheetId="10" r:id="rId1"/>
    <sheet name="파워링크_상세데이터" sheetId="76" r:id="rId2"/>
    <sheet name="파워링크_키워드_평일" sheetId="69" r:id="rId3"/>
    <sheet name="파워링크_키워드_주말" sheetId="77" r:id="rId4"/>
    <sheet name="파워링크_소재별_주간" sheetId="70" r:id="rId5"/>
    <sheet name="파링_소재 RAW" sheetId="71" r:id="rId6"/>
    <sheet name="파워링크 RAW" sheetId="75" r:id="rId7"/>
    <sheet name="카카오_Summary" sheetId="81" state="hidden" r:id="rId8"/>
    <sheet name="카카오_상세데이터" sheetId="82" state="hidden" r:id="rId9"/>
    <sheet name="카카오_PC키워드_주간" sheetId="83" state="hidden" r:id="rId10"/>
    <sheet name="카카오_MO키워드_주간" sheetId="84" state="hidden" r:id="rId11"/>
    <sheet name="카카오 RAW" sheetId="86" state="hidden" r:id="rId12"/>
    <sheet name="구글_Summary" sheetId="87" state="hidden" r:id="rId13"/>
    <sheet name="구글_PC키워드_주간" sheetId="88" state="hidden" r:id="rId14"/>
    <sheet name="구글_MO키워드_주간" sheetId="89" state="hidden" r:id="rId15"/>
    <sheet name="구글 RAW" sheetId="90" state="hidden" r:id="rId16"/>
  </sheets>
  <externalReferences>
    <externalReference r:id="rId17"/>
  </externalReferences>
  <definedNames>
    <definedName name="_xlnm._FilterDatabase" localSheetId="14" hidden="1">구글_MO키워드_주간!$C$10:$M$33</definedName>
    <definedName name="_xlnm._FilterDatabase" localSheetId="13" hidden="1">구글_PC키워드_주간!#REF!</definedName>
    <definedName name="_xlnm._FilterDatabase" localSheetId="10" hidden="1">카카오_MO키워드_주간!#REF!</definedName>
    <definedName name="_xlnm._FilterDatabase" localSheetId="9" hidden="1">카카오_PC키워드_주간!#REF!</definedName>
    <definedName name="_xlnm._FilterDatabase" localSheetId="8" hidden="1">카카오_상세데이터!$B$21:$K$46</definedName>
    <definedName name="_xlnm._FilterDatabase" localSheetId="5" hidden="1">'파링_소재 RAW'!$A$1:$G$1</definedName>
    <definedName name="_xlnm._FilterDatabase" localSheetId="4" hidden="1">파워링크_소재별_주간!$B$9:$L$52</definedName>
    <definedName name="_xlnm._FilterDatabase" localSheetId="3" hidden="1">파워링크_키워드_주말!$C$8:$N$13</definedName>
    <definedName name="_xlnm._FilterDatabase" localSheetId="2" hidden="1">파워링크_키워드_평일!#REF!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77" l="1"/>
  <c r="M21" i="77"/>
  <c r="J21" i="77"/>
  <c r="I21" i="77"/>
  <c r="N20" i="77"/>
  <c r="M20" i="77"/>
  <c r="J20" i="77"/>
  <c r="I20" i="77"/>
  <c r="N19" i="77"/>
  <c r="M19" i="77"/>
  <c r="J19" i="77"/>
  <c r="I19" i="77"/>
  <c r="N18" i="77"/>
  <c r="M18" i="77"/>
  <c r="J18" i="77"/>
  <c r="I18" i="77"/>
  <c r="N51" i="69"/>
  <c r="M51" i="69"/>
  <c r="J51" i="69"/>
  <c r="I51" i="69"/>
  <c r="N50" i="69"/>
  <c r="M50" i="69"/>
  <c r="J50" i="69"/>
  <c r="I50" i="69"/>
  <c r="N49" i="69"/>
  <c r="M49" i="69"/>
  <c r="J49" i="69"/>
  <c r="I49" i="69"/>
  <c r="N48" i="69"/>
  <c r="M48" i="69"/>
  <c r="J48" i="69"/>
  <c r="I48" i="69"/>
  <c r="N47" i="69"/>
  <c r="M47" i="69"/>
  <c r="J47" i="69"/>
  <c r="I47" i="69"/>
  <c r="N46" i="69"/>
  <c r="M46" i="69"/>
  <c r="J46" i="69"/>
  <c r="I46" i="69"/>
  <c r="N45" i="69"/>
  <c r="M45" i="69"/>
  <c r="J45" i="69"/>
  <c r="I45" i="69"/>
  <c r="L62" i="70"/>
  <c r="I62" i="70"/>
  <c r="H62" i="70"/>
  <c r="C62" i="70"/>
  <c r="L61" i="70"/>
  <c r="I61" i="70"/>
  <c r="H61" i="70"/>
  <c r="C61" i="70"/>
  <c r="I10" i="77" l="1"/>
  <c r="I11" i="77"/>
  <c r="I12" i="77"/>
  <c r="I13" i="77"/>
  <c r="I14" i="77"/>
  <c r="I15" i="77"/>
  <c r="I16" i="77"/>
  <c r="I17" i="77"/>
  <c r="N44" i="69"/>
  <c r="M44" i="69"/>
  <c r="J44" i="69"/>
  <c r="I44" i="69"/>
  <c r="N43" i="69"/>
  <c r="M43" i="69"/>
  <c r="J43" i="69"/>
  <c r="I43" i="69"/>
  <c r="N17" i="77" l="1"/>
  <c r="M17" i="77"/>
  <c r="J17" i="77"/>
  <c r="H100" i="10"/>
  <c r="G100" i="10"/>
  <c r="D100" i="10"/>
  <c r="C100" i="10"/>
  <c r="H99" i="10"/>
  <c r="G99" i="10"/>
  <c r="D99" i="10"/>
  <c r="C99" i="10"/>
  <c r="H98" i="10"/>
  <c r="G98" i="10"/>
  <c r="D98" i="10"/>
  <c r="C98" i="10"/>
  <c r="N16" i="77"/>
  <c r="M16" i="77"/>
  <c r="J16" i="77"/>
  <c r="N15" i="77"/>
  <c r="M15" i="77"/>
  <c r="J15" i="77"/>
  <c r="N14" i="77"/>
  <c r="M14" i="77"/>
  <c r="J14" i="77"/>
  <c r="I16" i="76"/>
  <c r="I15" i="76"/>
  <c r="I14" i="76"/>
  <c r="H16" i="76"/>
  <c r="H15" i="76"/>
  <c r="H14" i="76"/>
  <c r="E16" i="76"/>
  <c r="E15" i="76"/>
  <c r="E14" i="76"/>
  <c r="D16" i="76"/>
  <c r="D14" i="76"/>
  <c r="N42" i="69"/>
  <c r="M42" i="69"/>
  <c r="J42" i="69"/>
  <c r="I42" i="69"/>
  <c r="N41" i="69"/>
  <c r="M41" i="69"/>
  <c r="J41" i="69"/>
  <c r="I41" i="69"/>
  <c r="N40" i="69"/>
  <c r="M40" i="69"/>
  <c r="J40" i="69"/>
  <c r="I40" i="69"/>
  <c r="N39" i="69"/>
  <c r="M39" i="69"/>
  <c r="J39" i="69"/>
  <c r="I39" i="69"/>
  <c r="N38" i="69"/>
  <c r="M38" i="69"/>
  <c r="J38" i="69"/>
  <c r="I38" i="69"/>
  <c r="N37" i="69"/>
  <c r="M37" i="69"/>
  <c r="J37" i="69"/>
  <c r="I37" i="69"/>
  <c r="N36" i="69"/>
  <c r="M36" i="69"/>
  <c r="J36" i="69"/>
  <c r="I36" i="69"/>
  <c r="N35" i="69"/>
  <c r="M35" i="69"/>
  <c r="J35" i="69"/>
  <c r="I35" i="69"/>
  <c r="N34" i="69"/>
  <c r="M34" i="69"/>
  <c r="J34" i="69"/>
  <c r="I34" i="69"/>
  <c r="N33" i="69"/>
  <c r="M33" i="69"/>
  <c r="J33" i="69"/>
  <c r="I33" i="69"/>
  <c r="N32" i="69"/>
  <c r="M32" i="69"/>
  <c r="J32" i="69"/>
  <c r="I32" i="69"/>
  <c r="N31" i="69"/>
  <c r="M31" i="69"/>
  <c r="J31" i="69"/>
  <c r="I31" i="69"/>
  <c r="N30" i="69"/>
  <c r="M30" i="69"/>
  <c r="J30" i="69"/>
  <c r="I30" i="69"/>
  <c r="N29" i="69"/>
  <c r="M29" i="69"/>
  <c r="J29" i="69"/>
  <c r="I29" i="69"/>
  <c r="N28" i="69"/>
  <c r="M28" i="69"/>
  <c r="J28" i="69"/>
  <c r="I28" i="69"/>
  <c r="N27" i="69"/>
  <c r="M27" i="69"/>
  <c r="J27" i="69"/>
  <c r="I27" i="69"/>
  <c r="N26" i="69"/>
  <c r="M26" i="69"/>
  <c r="J26" i="69"/>
  <c r="I26" i="69"/>
  <c r="N25" i="69"/>
  <c r="M25" i="69"/>
  <c r="J25" i="69"/>
  <c r="I25" i="69"/>
  <c r="H61" i="10" l="1"/>
  <c r="D61" i="10"/>
  <c r="C61" i="10"/>
  <c r="G61" i="10"/>
  <c r="J99" i="10"/>
  <c r="I100" i="10"/>
  <c r="I98" i="10"/>
  <c r="E98" i="10"/>
  <c r="E99" i="10"/>
  <c r="J98" i="10"/>
  <c r="I99" i="10"/>
  <c r="J100" i="10"/>
  <c r="F98" i="10"/>
  <c r="E100" i="10"/>
  <c r="F100" i="10"/>
  <c r="F99" i="10"/>
  <c r="N24" i="69"/>
  <c r="M24" i="69"/>
  <c r="J24" i="69"/>
  <c r="I24" i="69"/>
  <c r="B68" i="70"/>
  <c r="B67" i="70"/>
  <c r="B66" i="70"/>
  <c r="N23" i="69"/>
  <c r="M23" i="69"/>
  <c r="N22" i="69"/>
  <c r="M22" i="69"/>
  <c r="N21" i="69"/>
  <c r="M21" i="69"/>
  <c r="N20" i="69"/>
  <c r="M20" i="69"/>
  <c r="N19" i="69"/>
  <c r="M19" i="69"/>
  <c r="J23" i="69"/>
  <c r="I23" i="69"/>
  <c r="J22" i="69"/>
  <c r="I22" i="69"/>
  <c r="J21" i="69"/>
  <c r="I21" i="69"/>
  <c r="J20" i="69"/>
  <c r="I20" i="69"/>
  <c r="J19" i="69"/>
  <c r="I19" i="69"/>
  <c r="N18" i="69" l="1"/>
  <c r="M18" i="69"/>
  <c r="J18" i="69"/>
  <c r="I18" i="69"/>
  <c r="N17" i="69"/>
  <c r="M17" i="69"/>
  <c r="J17" i="69"/>
  <c r="I17" i="69"/>
  <c r="K78" i="90" l="1"/>
  <c r="K77" i="90"/>
  <c r="K76" i="90"/>
  <c r="H77" i="90"/>
  <c r="L60" i="70"/>
  <c r="I60" i="70"/>
  <c r="H60" i="70"/>
  <c r="C60" i="70"/>
  <c r="K75" i="90" l="1"/>
  <c r="H75" i="90"/>
  <c r="K74" i="90"/>
  <c r="H74" i="90"/>
  <c r="K73" i="90"/>
  <c r="H73" i="90"/>
  <c r="K72" i="90"/>
  <c r="H72" i="90"/>
  <c r="M28" i="89"/>
  <c r="L28" i="89"/>
  <c r="I28" i="89"/>
  <c r="H28" i="89"/>
  <c r="M19" i="89"/>
  <c r="L19" i="89"/>
  <c r="I19" i="89"/>
  <c r="H19" i="89"/>
  <c r="M14" i="89"/>
  <c r="L14" i="89"/>
  <c r="I14" i="89"/>
  <c r="H14" i="89"/>
  <c r="M16" i="88" l="1"/>
  <c r="L16" i="88"/>
  <c r="I16" i="88"/>
  <c r="H16" i="88"/>
  <c r="M12" i="88"/>
  <c r="L12" i="88"/>
  <c r="I12" i="88"/>
  <c r="H12" i="88"/>
  <c r="M14" i="88"/>
  <c r="L14" i="88"/>
  <c r="I14" i="88"/>
  <c r="H14" i="88"/>
  <c r="H2" i="90"/>
  <c r="H3" i="90"/>
  <c r="H4" i="90"/>
  <c r="H5" i="90"/>
  <c r="H6" i="90"/>
  <c r="H7" i="90"/>
  <c r="H8" i="90"/>
  <c r="H9" i="90"/>
  <c r="H10" i="90"/>
  <c r="H11" i="90"/>
  <c r="H12" i="90"/>
  <c r="H13" i="90"/>
  <c r="G59" i="87" s="1"/>
  <c r="H14" i="90"/>
  <c r="H15" i="90"/>
  <c r="H16" i="90"/>
  <c r="H17" i="90"/>
  <c r="H18" i="90"/>
  <c r="H19" i="90"/>
  <c r="H20" i="90"/>
  <c r="G61" i="87" s="1"/>
  <c r="H21" i="90"/>
  <c r="H22" i="90"/>
  <c r="H23" i="90"/>
  <c r="H24" i="90"/>
  <c r="G63" i="87" s="1"/>
  <c r="H25" i="90"/>
  <c r="H26" i="90"/>
  <c r="H27" i="90"/>
  <c r="H28" i="90"/>
  <c r="H29" i="90"/>
  <c r="H30" i="90"/>
  <c r="H31" i="90"/>
  <c r="H32" i="90"/>
  <c r="H33" i="90"/>
  <c r="H34" i="90"/>
  <c r="H35" i="90"/>
  <c r="H36" i="90"/>
  <c r="H37" i="90"/>
  <c r="H38" i="90"/>
  <c r="H39" i="90"/>
  <c r="H40" i="90"/>
  <c r="H41" i="90"/>
  <c r="H42" i="90"/>
  <c r="H43" i="90"/>
  <c r="H44" i="90"/>
  <c r="H45" i="90"/>
  <c r="H46" i="90"/>
  <c r="H47" i="90"/>
  <c r="H48" i="90"/>
  <c r="H49" i="90"/>
  <c r="H50" i="90"/>
  <c r="H51" i="90"/>
  <c r="H52" i="90"/>
  <c r="H53" i="90"/>
  <c r="H54" i="90"/>
  <c r="H55" i="90"/>
  <c r="H56" i="90"/>
  <c r="H57" i="90"/>
  <c r="G74" i="87" s="1"/>
  <c r="H58" i="90"/>
  <c r="H59" i="90"/>
  <c r="H60" i="90"/>
  <c r="H61" i="90"/>
  <c r="H62" i="90"/>
  <c r="H63" i="90"/>
  <c r="H64" i="90"/>
  <c r="H65" i="90"/>
  <c r="H66" i="90"/>
  <c r="G77" i="87" s="1"/>
  <c r="H67" i="90"/>
  <c r="H68" i="90"/>
  <c r="H69" i="90"/>
  <c r="G78" i="87" s="1"/>
  <c r="H70" i="90"/>
  <c r="H71" i="90"/>
  <c r="G79" i="87" s="1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D69" i="10"/>
  <c r="G69" i="10"/>
  <c r="H69" i="10"/>
  <c r="D70" i="10"/>
  <c r="G70" i="10"/>
  <c r="H70" i="10"/>
  <c r="D71" i="10"/>
  <c r="G71" i="10"/>
  <c r="H71" i="10"/>
  <c r="D72" i="10"/>
  <c r="G72" i="10"/>
  <c r="H72" i="10"/>
  <c r="D73" i="10"/>
  <c r="G73" i="10"/>
  <c r="H73" i="10"/>
  <c r="D74" i="10"/>
  <c r="G74" i="10"/>
  <c r="H74" i="10"/>
  <c r="D75" i="10"/>
  <c r="G75" i="10"/>
  <c r="H75" i="10"/>
  <c r="D76" i="10"/>
  <c r="G76" i="10"/>
  <c r="H76" i="10"/>
  <c r="D77" i="10"/>
  <c r="G77" i="10"/>
  <c r="H77" i="10"/>
  <c r="D78" i="10"/>
  <c r="G78" i="10"/>
  <c r="H78" i="10"/>
  <c r="D79" i="10"/>
  <c r="G79" i="10"/>
  <c r="H79" i="10"/>
  <c r="D80" i="10"/>
  <c r="G80" i="10"/>
  <c r="H80" i="10"/>
  <c r="D81" i="10"/>
  <c r="G81" i="10"/>
  <c r="H81" i="10"/>
  <c r="D82" i="10"/>
  <c r="G82" i="10"/>
  <c r="H82" i="10"/>
  <c r="D83" i="10"/>
  <c r="G83" i="10"/>
  <c r="H83" i="10"/>
  <c r="D84" i="10"/>
  <c r="G84" i="10"/>
  <c r="H84" i="10"/>
  <c r="D85" i="10"/>
  <c r="G85" i="10"/>
  <c r="H85" i="10"/>
  <c r="D86" i="10"/>
  <c r="G86" i="10"/>
  <c r="H86" i="10"/>
  <c r="D87" i="10"/>
  <c r="G87" i="10"/>
  <c r="H87" i="10"/>
  <c r="D88" i="10"/>
  <c r="G88" i="10"/>
  <c r="H88" i="10"/>
  <c r="D89" i="10"/>
  <c r="G89" i="10"/>
  <c r="H89" i="10"/>
  <c r="D90" i="10"/>
  <c r="G90" i="10"/>
  <c r="H90" i="10"/>
  <c r="D91" i="10"/>
  <c r="G91" i="10"/>
  <c r="H91" i="10"/>
  <c r="D92" i="10"/>
  <c r="G92" i="10"/>
  <c r="H92" i="10"/>
  <c r="D93" i="10"/>
  <c r="G93" i="10"/>
  <c r="H93" i="10"/>
  <c r="D94" i="10"/>
  <c r="G94" i="10"/>
  <c r="H94" i="10"/>
  <c r="D95" i="10"/>
  <c r="G95" i="10"/>
  <c r="H95" i="10"/>
  <c r="D96" i="10"/>
  <c r="G96" i="10"/>
  <c r="H96" i="10"/>
  <c r="D97" i="10"/>
  <c r="G97" i="10"/>
  <c r="H97" i="10"/>
  <c r="N16" i="69"/>
  <c r="M16" i="69"/>
  <c r="J16" i="69"/>
  <c r="I16" i="69"/>
  <c r="N15" i="69"/>
  <c r="M15" i="69"/>
  <c r="J15" i="69"/>
  <c r="I15" i="69"/>
  <c r="H13" i="88"/>
  <c r="H15" i="88"/>
  <c r="H17" i="88"/>
  <c r="H18" i="88"/>
  <c r="H19" i="88"/>
  <c r="H20" i="88"/>
  <c r="H21" i="88"/>
  <c r="H22" i="88"/>
  <c r="K71" i="90"/>
  <c r="K70" i="90"/>
  <c r="K69" i="90"/>
  <c r="K68" i="90"/>
  <c r="K67" i="90"/>
  <c r="K66" i="90"/>
  <c r="K65" i="90"/>
  <c r="K64" i="90"/>
  <c r="K63" i="90"/>
  <c r="K62" i="90"/>
  <c r="K61" i="90"/>
  <c r="G82" i="87"/>
  <c r="K60" i="90"/>
  <c r="K59" i="90"/>
  <c r="G81" i="87"/>
  <c r="K58" i="90"/>
  <c r="K57" i="90"/>
  <c r="K56" i="90"/>
  <c r="K55" i="90"/>
  <c r="K54" i="90"/>
  <c r="K53" i="90"/>
  <c r="K52" i="90"/>
  <c r="K51" i="90"/>
  <c r="K50" i="90"/>
  <c r="K49" i="90"/>
  <c r="K48" i="90"/>
  <c r="K47" i="90"/>
  <c r="K46" i="90"/>
  <c r="M18" i="89"/>
  <c r="L18" i="89"/>
  <c r="M22" i="89"/>
  <c r="L22" i="89"/>
  <c r="I18" i="89"/>
  <c r="H18" i="89"/>
  <c r="I22" i="89"/>
  <c r="H22" i="89"/>
  <c r="K45" i="90"/>
  <c r="K44" i="90"/>
  <c r="K43" i="90"/>
  <c r="K42" i="90"/>
  <c r="K41" i="90"/>
  <c r="K40" i="90"/>
  <c r="K39" i="90"/>
  <c r="K38" i="90"/>
  <c r="K37" i="90"/>
  <c r="K36" i="90"/>
  <c r="K35" i="90"/>
  <c r="K34" i="90"/>
  <c r="K33" i="90"/>
  <c r="K32" i="90"/>
  <c r="K31" i="90"/>
  <c r="K30" i="90"/>
  <c r="K29" i="90"/>
  <c r="K28" i="90"/>
  <c r="K27" i="90"/>
  <c r="K26" i="90"/>
  <c r="G72" i="87"/>
  <c r="G71" i="87"/>
  <c r="K25" i="90"/>
  <c r="K24" i="90"/>
  <c r="K23" i="90"/>
  <c r="K22" i="90"/>
  <c r="K21" i="90"/>
  <c r="K20" i="90"/>
  <c r="K19" i="90"/>
  <c r="K18" i="90"/>
  <c r="K17" i="90"/>
  <c r="K16" i="90"/>
  <c r="K15" i="90"/>
  <c r="K14" i="90"/>
  <c r="K13" i="90"/>
  <c r="K12" i="90"/>
  <c r="K11" i="90"/>
  <c r="K10" i="90"/>
  <c r="G64" i="87"/>
  <c r="K9" i="90"/>
  <c r="K8" i="90"/>
  <c r="H85" i="87"/>
  <c r="G85" i="87"/>
  <c r="D85" i="87"/>
  <c r="C85" i="87"/>
  <c r="H84" i="87"/>
  <c r="G84" i="87"/>
  <c r="D84" i="87"/>
  <c r="C84" i="87"/>
  <c r="H83" i="87"/>
  <c r="G83" i="87"/>
  <c r="D83" i="87"/>
  <c r="C83" i="87"/>
  <c r="H82" i="87"/>
  <c r="D82" i="87"/>
  <c r="C82" i="87"/>
  <c r="H81" i="87"/>
  <c r="D81" i="87"/>
  <c r="C81" i="87"/>
  <c r="H80" i="87"/>
  <c r="G80" i="87"/>
  <c r="D80" i="87"/>
  <c r="C80" i="87"/>
  <c r="H79" i="87"/>
  <c r="D79" i="87"/>
  <c r="C79" i="87"/>
  <c r="H78" i="87"/>
  <c r="D78" i="87"/>
  <c r="C78" i="87"/>
  <c r="H77" i="87"/>
  <c r="D77" i="87"/>
  <c r="C77" i="87"/>
  <c r="H76" i="87"/>
  <c r="G76" i="87"/>
  <c r="D76" i="87"/>
  <c r="C76" i="87"/>
  <c r="H75" i="87"/>
  <c r="G75" i="87"/>
  <c r="D75" i="87"/>
  <c r="C75" i="87"/>
  <c r="H74" i="87"/>
  <c r="D74" i="87"/>
  <c r="C74" i="87"/>
  <c r="H73" i="87"/>
  <c r="G73" i="87"/>
  <c r="D73" i="87"/>
  <c r="C73" i="87"/>
  <c r="H72" i="87"/>
  <c r="D72" i="87"/>
  <c r="C72" i="87"/>
  <c r="H71" i="87"/>
  <c r="D71" i="87"/>
  <c r="C71" i="87"/>
  <c r="H70" i="87"/>
  <c r="G70" i="87"/>
  <c r="D70" i="87"/>
  <c r="C70" i="87"/>
  <c r="H69" i="87"/>
  <c r="G69" i="87"/>
  <c r="D69" i="87"/>
  <c r="C69" i="87"/>
  <c r="H68" i="87"/>
  <c r="D68" i="87"/>
  <c r="C68" i="87"/>
  <c r="H67" i="87"/>
  <c r="D67" i="87"/>
  <c r="C67" i="87"/>
  <c r="H66" i="87"/>
  <c r="D66" i="87"/>
  <c r="C66" i="87"/>
  <c r="H65" i="87"/>
  <c r="D65" i="87"/>
  <c r="C65" i="87"/>
  <c r="H64" i="87"/>
  <c r="D64" i="87"/>
  <c r="C64" i="87"/>
  <c r="H63" i="87"/>
  <c r="D63" i="87"/>
  <c r="C63" i="87"/>
  <c r="H62" i="87"/>
  <c r="D62" i="87"/>
  <c r="C62" i="87"/>
  <c r="H61" i="87"/>
  <c r="D61" i="87"/>
  <c r="C61" i="87"/>
  <c r="H60" i="87"/>
  <c r="G60" i="87"/>
  <c r="D60" i="87"/>
  <c r="C60" i="87"/>
  <c r="H59" i="87"/>
  <c r="D59" i="87"/>
  <c r="C59" i="87"/>
  <c r="H58" i="87"/>
  <c r="G58" i="87"/>
  <c r="D58" i="87"/>
  <c r="C58" i="87"/>
  <c r="H57" i="87"/>
  <c r="G57" i="87"/>
  <c r="D57" i="87"/>
  <c r="C57" i="87"/>
  <c r="H56" i="87"/>
  <c r="D56" i="87"/>
  <c r="C56" i="87"/>
  <c r="H55" i="87"/>
  <c r="D55" i="87"/>
  <c r="C55" i="87"/>
  <c r="C50" i="10" l="1"/>
  <c r="G50" i="10"/>
  <c r="H50" i="10"/>
  <c r="D50" i="10"/>
  <c r="H58" i="10"/>
  <c r="H47" i="10"/>
  <c r="H36" i="10"/>
  <c r="D36" i="10"/>
  <c r="C38" i="10"/>
  <c r="G36" i="10"/>
  <c r="H37" i="10"/>
  <c r="C37" i="10"/>
  <c r="C36" i="10"/>
  <c r="G37" i="10"/>
  <c r="H35" i="10"/>
  <c r="C35" i="10"/>
  <c r="H38" i="10"/>
  <c r="D38" i="10"/>
  <c r="D37" i="10"/>
  <c r="G35" i="10"/>
  <c r="G38" i="10"/>
  <c r="D35" i="10"/>
  <c r="C58" i="10"/>
  <c r="H60" i="10"/>
  <c r="D60" i="10"/>
  <c r="C49" i="10"/>
  <c r="C57" i="10"/>
  <c r="H49" i="10"/>
  <c r="D49" i="10"/>
  <c r="C47" i="10"/>
  <c r="H48" i="10"/>
  <c r="H59" i="10"/>
  <c r="H46" i="10"/>
  <c r="C59" i="10"/>
  <c r="C46" i="10"/>
  <c r="C48" i="10"/>
  <c r="D47" i="10"/>
  <c r="D58" i="10"/>
  <c r="H57" i="10"/>
  <c r="D57" i="10"/>
  <c r="D48" i="10"/>
  <c r="C60" i="10"/>
  <c r="D59" i="10"/>
  <c r="D46" i="10"/>
  <c r="G58" i="10"/>
  <c r="G49" i="10"/>
  <c r="G57" i="10"/>
  <c r="G60" i="10"/>
  <c r="G48" i="10"/>
  <c r="G47" i="10"/>
  <c r="G59" i="10"/>
  <c r="G46" i="10"/>
  <c r="E96" i="10"/>
  <c r="I79" i="10"/>
  <c r="F97" i="10"/>
  <c r="F72" i="10"/>
  <c r="J95" i="10"/>
  <c r="I97" i="10"/>
  <c r="F92" i="10"/>
  <c r="J75" i="10"/>
  <c r="J77" i="10"/>
  <c r="I69" i="10"/>
  <c r="J83" i="10"/>
  <c r="J81" i="10"/>
  <c r="J91" i="10"/>
  <c r="E76" i="10"/>
  <c r="E71" i="10"/>
  <c r="E91" i="10"/>
  <c r="I85" i="10"/>
  <c r="E75" i="10"/>
  <c r="I94" i="10"/>
  <c r="J88" i="10"/>
  <c r="F93" i="10"/>
  <c r="G38" i="87"/>
  <c r="J90" i="10"/>
  <c r="E80" i="10"/>
  <c r="E90" i="10"/>
  <c r="J84" i="10"/>
  <c r="E74" i="10"/>
  <c r="E88" i="10"/>
  <c r="E87" i="10"/>
  <c r="I81" i="10"/>
  <c r="E72" i="10"/>
  <c r="I91" i="10"/>
  <c r="I93" i="10"/>
  <c r="E89" i="10"/>
  <c r="I75" i="10"/>
  <c r="I88" i="10"/>
  <c r="F88" i="10"/>
  <c r="J70" i="10"/>
  <c r="E92" i="10"/>
  <c r="I87" i="10"/>
  <c r="E85" i="10"/>
  <c r="F83" i="10"/>
  <c r="F74" i="10"/>
  <c r="E84" i="10"/>
  <c r="J87" i="10"/>
  <c r="I82" i="10"/>
  <c r="I95" i="10"/>
  <c r="I77" i="10"/>
  <c r="E73" i="10"/>
  <c r="F95" i="10"/>
  <c r="E86" i="10"/>
  <c r="F77" i="10"/>
  <c r="F81" i="10"/>
  <c r="I71" i="10"/>
  <c r="E94" i="10"/>
  <c r="F89" i="10"/>
  <c r="G62" i="87"/>
  <c r="J62" i="87" s="1"/>
  <c r="E70" i="10"/>
  <c r="J73" i="10"/>
  <c r="J96" i="10"/>
  <c r="I84" i="10"/>
  <c r="I80" i="10"/>
  <c r="J76" i="10"/>
  <c r="J72" i="10"/>
  <c r="F84" i="10"/>
  <c r="J80" i="10"/>
  <c r="F76" i="10"/>
  <c r="I72" i="10"/>
  <c r="J85" i="10"/>
  <c r="E93" i="10"/>
  <c r="J94" i="10"/>
  <c r="I78" i="10"/>
  <c r="I90" i="10"/>
  <c r="I70" i="10"/>
  <c r="J97" i="10"/>
  <c r="J93" i="10"/>
  <c r="F86" i="10"/>
  <c r="E78" i="10"/>
  <c r="I74" i="10"/>
  <c r="F82" i="10"/>
  <c r="F79" i="10"/>
  <c r="J69" i="10"/>
  <c r="F91" i="10"/>
  <c r="F75" i="10"/>
  <c r="J74" i="10"/>
  <c r="J71" i="10"/>
  <c r="E77" i="10"/>
  <c r="J78" i="10"/>
  <c r="E81" i="10"/>
  <c r="E97" i="10"/>
  <c r="F80" i="10"/>
  <c r="E79" i="10"/>
  <c r="I96" i="10"/>
  <c r="J89" i="10"/>
  <c r="J86" i="10"/>
  <c r="E83" i="10"/>
  <c r="E69" i="10"/>
  <c r="E82" i="10"/>
  <c r="E95" i="10"/>
  <c r="F96" i="10"/>
  <c r="I73" i="10"/>
  <c r="I92" i="10"/>
  <c r="I89" i="10"/>
  <c r="I86" i="10"/>
  <c r="I76" i="10"/>
  <c r="J92" i="10"/>
  <c r="J82" i="10"/>
  <c r="J79" i="10"/>
  <c r="F73" i="10"/>
  <c r="F70" i="10"/>
  <c r="F85" i="10"/>
  <c r="F94" i="10"/>
  <c r="F78" i="10"/>
  <c r="F71" i="10"/>
  <c r="F69" i="10"/>
  <c r="F87" i="10"/>
  <c r="I83" i="10"/>
  <c r="F90" i="10"/>
  <c r="H36" i="87"/>
  <c r="C37" i="87"/>
  <c r="D37" i="87"/>
  <c r="H37" i="87"/>
  <c r="C39" i="87"/>
  <c r="D39" i="87"/>
  <c r="H39" i="87"/>
  <c r="C36" i="87"/>
  <c r="D36" i="87"/>
  <c r="C38" i="87"/>
  <c r="H38" i="87"/>
  <c r="G39" i="87"/>
  <c r="C35" i="87"/>
  <c r="D35" i="87"/>
  <c r="H35" i="87"/>
  <c r="D38" i="87"/>
  <c r="E73" i="87"/>
  <c r="E69" i="87"/>
  <c r="J61" i="87"/>
  <c r="I57" i="87"/>
  <c r="J57" i="87"/>
  <c r="E65" i="87"/>
  <c r="E81" i="87"/>
  <c r="J77" i="87"/>
  <c r="J73" i="87"/>
  <c r="J69" i="87"/>
  <c r="J81" i="87"/>
  <c r="J85" i="87"/>
  <c r="J80" i="87"/>
  <c r="G67" i="87"/>
  <c r="G66" i="87"/>
  <c r="F66" i="87" s="1"/>
  <c r="G65" i="87"/>
  <c r="J65" i="87" s="1"/>
  <c r="G68" i="87"/>
  <c r="J68" i="87" s="1"/>
  <c r="J82" i="87"/>
  <c r="E77" i="87"/>
  <c r="I77" i="87"/>
  <c r="E57" i="87"/>
  <c r="E71" i="87"/>
  <c r="E75" i="87"/>
  <c r="F76" i="87"/>
  <c r="J75" i="87"/>
  <c r="I84" i="87"/>
  <c r="E61" i="87"/>
  <c r="I81" i="87"/>
  <c r="E85" i="87"/>
  <c r="I61" i="87"/>
  <c r="I65" i="87"/>
  <c r="I69" i="87"/>
  <c r="I73" i="87"/>
  <c r="I85" i="87"/>
  <c r="I70" i="87"/>
  <c r="J70" i="87"/>
  <c r="J74" i="87"/>
  <c r="E63" i="87"/>
  <c r="E79" i="87"/>
  <c r="F64" i="87"/>
  <c r="I80" i="87"/>
  <c r="E67" i="87"/>
  <c r="F80" i="87"/>
  <c r="E83" i="87"/>
  <c r="E59" i="87"/>
  <c r="I79" i="87"/>
  <c r="I55" i="87"/>
  <c r="I75" i="87"/>
  <c r="I83" i="87"/>
  <c r="E72" i="87"/>
  <c r="I71" i="87"/>
  <c r="I59" i="87"/>
  <c r="J76" i="87"/>
  <c r="I64" i="87"/>
  <c r="I68" i="87"/>
  <c r="I63" i="87"/>
  <c r="F60" i="87"/>
  <c r="I72" i="87"/>
  <c r="E74" i="87"/>
  <c r="E78" i="87"/>
  <c r="E82" i="87"/>
  <c r="F58" i="87"/>
  <c r="J78" i="87"/>
  <c r="E62" i="87"/>
  <c r="I58" i="87"/>
  <c r="I62" i="87"/>
  <c r="I66" i="87"/>
  <c r="I74" i="87"/>
  <c r="I78" i="87"/>
  <c r="I82" i="87"/>
  <c r="E58" i="87"/>
  <c r="J63" i="87"/>
  <c r="I56" i="87"/>
  <c r="I60" i="87"/>
  <c r="E64" i="87"/>
  <c r="E68" i="87"/>
  <c r="I76" i="87"/>
  <c r="E80" i="87"/>
  <c r="E84" i="87"/>
  <c r="J84" i="87"/>
  <c r="J59" i="87"/>
  <c r="J72" i="87"/>
  <c r="E60" i="87"/>
  <c r="J71" i="87"/>
  <c r="I67" i="87"/>
  <c r="F82" i="87"/>
  <c r="J83" i="87"/>
  <c r="J79" i="87"/>
  <c r="F84" i="87"/>
  <c r="E70" i="87"/>
  <c r="E55" i="87"/>
  <c r="E56" i="87"/>
  <c r="F70" i="87"/>
  <c r="J58" i="87"/>
  <c r="J60" i="87"/>
  <c r="J64" i="87"/>
  <c r="F72" i="87"/>
  <c r="F78" i="87"/>
  <c r="F57" i="87"/>
  <c r="F59" i="87"/>
  <c r="F61" i="87"/>
  <c r="F63" i="87"/>
  <c r="F69" i="87"/>
  <c r="F71" i="87"/>
  <c r="F73" i="87"/>
  <c r="F75" i="87"/>
  <c r="F77" i="87"/>
  <c r="F79" i="87"/>
  <c r="F81" i="87"/>
  <c r="F83" i="87"/>
  <c r="F85" i="87"/>
  <c r="E66" i="87"/>
  <c r="F74" i="87"/>
  <c r="E76" i="87"/>
  <c r="E58" i="10" l="1"/>
  <c r="E57" i="10"/>
  <c r="C51" i="10"/>
  <c r="C62" i="10"/>
  <c r="G62" i="10"/>
  <c r="H39" i="10"/>
  <c r="H40" i="10" s="1"/>
  <c r="C39" i="10"/>
  <c r="C40" i="10" s="1"/>
  <c r="G39" i="10"/>
  <c r="G40" i="10" s="1"/>
  <c r="D62" i="10"/>
  <c r="D39" i="10"/>
  <c r="D40" i="10" s="1"/>
  <c r="G51" i="10"/>
  <c r="D51" i="10"/>
  <c r="H51" i="10"/>
  <c r="H62" i="10"/>
  <c r="E50" i="10"/>
  <c r="E51" i="10" s="1"/>
  <c r="I48" i="10"/>
  <c r="E47" i="10"/>
  <c r="E59" i="10"/>
  <c r="I49" i="10"/>
  <c r="E46" i="10"/>
  <c r="I58" i="10"/>
  <c r="I46" i="10"/>
  <c r="I59" i="10"/>
  <c r="E61" i="10"/>
  <c r="I57" i="10"/>
  <c r="I47" i="10"/>
  <c r="E49" i="10"/>
  <c r="E60" i="10"/>
  <c r="I60" i="10"/>
  <c r="I61" i="10"/>
  <c r="I62" i="10" s="1"/>
  <c r="E48" i="10"/>
  <c r="I50" i="10"/>
  <c r="J46" i="10"/>
  <c r="F46" i="10"/>
  <c r="J61" i="10"/>
  <c r="F61" i="10"/>
  <c r="J57" i="10"/>
  <c r="F57" i="10"/>
  <c r="J59" i="10"/>
  <c r="F59" i="10"/>
  <c r="F48" i="10"/>
  <c r="J48" i="10"/>
  <c r="J49" i="10"/>
  <c r="F49" i="10"/>
  <c r="J47" i="10"/>
  <c r="F47" i="10"/>
  <c r="J60" i="10"/>
  <c r="F60" i="10"/>
  <c r="J50" i="10"/>
  <c r="F50" i="10"/>
  <c r="J58" i="10"/>
  <c r="F58" i="10"/>
  <c r="G40" i="87"/>
  <c r="H40" i="87"/>
  <c r="D40" i="87"/>
  <c r="C40" i="87"/>
  <c r="F62" i="87"/>
  <c r="F67" i="87"/>
  <c r="G37" i="87"/>
  <c r="G36" i="87"/>
  <c r="J66" i="87"/>
  <c r="J67" i="87"/>
  <c r="F65" i="87"/>
  <c r="F68" i="87"/>
  <c r="D51" i="76"/>
  <c r="E51" i="76"/>
  <c r="I27" i="89"/>
  <c r="H27" i="89"/>
  <c r="I12" i="89"/>
  <c r="H12" i="89"/>
  <c r="I21" i="89"/>
  <c r="H21" i="89"/>
  <c r="M27" i="89"/>
  <c r="L27" i="89"/>
  <c r="M12" i="89"/>
  <c r="L12" i="89"/>
  <c r="M21" i="89"/>
  <c r="L21" i="89"/>
  <c r="J51" i="10" l="1"/>
  <c r="F51" i="10"/>
  <c r="F62" i="10"/>
  <c r="J62" i="10"/>
  <c r="I51" i="10"/>
  <c r="E62" i="10"/>
  <c r="J38" i="87"/>
  <c r="E37" i="87"/>
  <c r="E35" i="87"/>
  <c r="E39" i="87"/>
  <c r="E36" i="87"/>
  <c r="J39" i="1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C53" i="70"/>
  <c r="C54" i="70"/>
  <c r="C55" i="70"/>
  <c r="C56" i="70"/>
  <c r="C57" i="70"/>
  <c r="C58" i="70"/>
  <c r="C59" i="70"/>
  <c r="M17" i="88"/>
  <c r="L17" i="88"/>
  <c r="I17" i="88"/>
  <c r="M13" i="88"/>
  <c r="L13" i="88"/>
  <c r="I13" i="88"/>
  <c r="K48" i="76"/>
  <c r="J48" i="76"/>
  <c r="G48" i="76"/>
  <c r="F48" i="76"/>
  <c r="N14" i="69"/>
  <c r="M14" i="69"/>
  <c r="J14" i="69"/>
  <c r="I14" i="69"/>
  <c r="L59" i="70"/>
  <c r="I59" i="70"/>
  <c r="H59" i="70"/>
  <c r="L58" i="70"/>
  <c r="I58" i="70"/>
  <c r="H58" i="70"/>
  <c r="M30" i="89"/>
  <c r="L30" i="89"/>
  <c r="M20" i="89"/>
  <c r="L20" i="89"/>
  <c r="M15" i="89"/>
  <c r="L15" i="89"/>
  <c r="M24" i="89"/>
  <c r="L24" i="89"/>
  <c r="M13" i="89"/>
  <c r="L13" i="89"/>
  <c r="M31" i="89"/>
  <c r="L31" i="89"/>
  <c r="M25" i="89"/>
  <c r="L25" i="89"/>
  <c r="M26" i="89"/>
  <c r="L26" i="89"/>
  <c r="I30" i="89"/>
  <c r="H30" i="89"/>
  <c r="I20" i="89"/>
  <c r="H20" i="89"/>
  <c r="I15" i="89"/>
  <c r="H15" i="89"/>
  <c r="I24" i="89"/>
  <c r="H24" i="89"/>
  <c r="I13" i="89"/>
  <c r="H13" i="89"/>
  <c r="I31" i="89"/>
  <c r="H31" i="89"/>
  <c r="I25" i="89"/>
  <c r="H25" i="89"/>
  <c r="I26" i="89"/>
  <c r="H26" i="89"/>
  <c r="M19" i="88"/>
  <c r="L19" i="88"/>
  <c r="I19" i="88"/>
  <c r="I39" i="87" l="1"/>
  <c r="F38" i="87"/>
  <c r="I37" i="87"/>
  <c r="E38" i="87"/>
  <c r="E40" i="87" s="1"/>
  <c r="F39" i="87"/>
  <c r="F40" i="87" s="1"/>
  <c r="F35" i="10"/>
  <c r="E35" i="10"/>
  <c r="E36" i="10"/>
  <c r="J36" i="87"/>
  <c r="J37" i="87"/>
  <c r="I36" i="10"/>
  <c r="E38" i="10"/>
  <c r="I36" i="87"/>
  <c r="F37" i="87"/>
  <c r="F36" i="87"/>
  <c r="I35" i="87"/>
  <c r="J39" i="87"/>
  <c r="J40" i="87" s="1"/>
  <c r="I38" i="87"/>
  <c r="E39" i="10"/>
  <c r="J37" i="10"/>
  <c r="E37" i="10"/>
  <c r="I37" i="10"/>
  <c r="I39" i="10"/>
  <c r="F39" i="10"/>
  <c r="I38" i="10"/>
  <c r="J35" i="10"/>
  <c r="J38" i="10"/>
  <c r="J40" i="10" s="1"/>
  <c r="F38" i="10"/>
  <c r="I35" i="10"/>
  <c r="F37" i="10"/>
  <c r="J36" i="10"/>
  <c r="F36" i="10"/>
  <c r="M22" i="88"/>
  <c r="L22" i="88"/>
  <c r="M21" i="88"/>
  <c r="L21" i="88"/>
  <c r="M15" i="88"/>
  <c r="L15" i="88"/>
  <c r="M20" i="88"/>
  <c r="L20" i="88"/>
  <c r="I22" i="88"/>
  <c r="I21" i="88"/>
  <c r="I15" i="88"/>
  <c r="I20" i="88"/>
  <c r="F40" i="10" l="1"/>
  <c r="I40" i="10"/>
  <c r="E40" i="10"/>
  <c r="I40" i="87"/>
  <c r="M16" i="89"/>
  <c r="L16" i="89"/>
  <c r="I16" i="89"/>
  <c r="H16" i="89"/>
  <c r="I23" i="89"/>
  <c r="H23" i="89"/>
  <c r="M18" i="88"/>
  <c r="L18" i="88"/>
  <c r="I18" i="88"/>
  <c r="M17" i="89" l="1"/>
  <c r="L17" i="89"/>
  <c r="I17" i="89"/>
  <c r="H17" i="89"/>
  <c r="M23" i="89" l="1"/>
  <c r="L23" i="89"/>
  <c r="G56" i="87"/>
  <c r="K3" i="90"/>
  <c r="K4" i="90"/>
  <c r="K5" i="90"/>
  <c r="K6" i="90"/>
  <c r="K7" i="90"/>
  <c r="F56" i="87" l="1"/>
  <c r="J56" i="87"/>
  <c r="M29" i="89"/>
  <c r="L29" i="89"/>
  <c r="I29" i="89"/>
  <c r="H29" i="89"/>
  <c r="K47" i="76"/>
  <c r="J47" i="76"/>
  <c r="G47" i="76"/>
  <c r="F47" i="76"/>
  <c r="L57" i="70" l="1"/>
  <c r="L56" i="70"/>
  <c r="L55" i="70"/>
  <c r="L54" i="70"/>
  <c r="L53" i="70"/>
  <c r="I57" i="70"/>
  <c r="H57" i="70"/>
  <c r="I56" i="70"/>
  <c r="H56" i="70"/>
  <c r="I55" i="70"/>
  <c r="H55" i="70"/>
  <c r="I54" i="70"/>
  <c r="H54" i="70"/>
  <c r="I53" i="70"/>
  <c r="H53" i="70"/>
  <c r="B4" i="87" l="1"/>
  <c r="K46" i="76" l="1"/>
  <c r="J46" i="76"/>
  <c r="G46" i="76"/>
  <c r="F46" i="76"/>
  <c r="M14" i="84" l="1"/>
  <c r="L14" i="84"/>
  <c r="I14" i="84"/>
  <c r="H35" i="86"/>
  <c r="H34" i="86"/>
  <c r="H33" i="86"/>
  <c r="H32" i="86"/>
  <c r="H31" i="86"/>
  <c r="H30" i="86"/>
  <c r="H29" i="86"/>
  <c r="H28" i="86"/>
  <c r="H27" i="86"/>
  <c r="H26" i="86"/>
  <c r="M15" i="83" l="1"/>
  <c r="L15" i="83"/>
  <c r="I15" i="83"/>
  <c r="H15" i="83"/>
  <c r="H25" i="86"/>
  <c r="H24" i="86"/>
  <c r="H23" i="86"/>
  <c r="H22" i="86"/>
  <c r="H21" i="86"/>
  <c r="H20" i="86"/>
  <c r="H19" i="86"/>
  <c r="H18" i="86"/>
  <c r="H17" i="86"/>
  <c r="H16" i="86"/>
  <c r="H15" i="86"/>
  <c r="H14" i="86"/>
  <c r="H13" i="86"/>
  <c r="H12" i="86"/>
  <c r="H11" i="86"/>
  <c r="H10" i="86"/>
  <c r="H9" i="86"/>
  <c r="H8" i="86"/>
  <c r="H7" i="86"/>
  <c r="H6" i="86"/>
  <c r="L52" i="70"/>
  <c r="L51" i="70"/>
  <c r="L50" i="70"/>
  <c r="L49" i="70"/>
  <c r="I52" i="70"/>
  <c r="H52" i="70"/>
  <c r="I51" i="70"/>
  <c r="H51" i="70"/>
  <c r="I50" i="70"/>
  <c r="H50" i="70"/>
  <c r="I49" i="70"/>
  <c r="H49" i="70"/>
  <c r="H11" i="70"/>
  <c r="I11" i="70"/>
  <c r="H12" i="70"/>
  <c r="I12" i="70"/>
  <c r="H13" i="70"/>
  <c r="I13" i="70"/>
  <c r="H14" i="70"/>
  <c r="I14" i="70"/>
  <c r="H15" i="70"/>
  <c r="I15" i="70"/>
  <c r="H16" i="70"/>
  <c r="I16" i="70"/>
  <c r="H17" i="70"/>
  <c r="I17" i="70"/>
  <c r="H18" i="70"/>
  <c r="I18" i="70"/>
  <c r="H19" i="70"/>
  <c r="I19" i="70"/>
  <c r="H20" i="70"/>
  <c r="I20" i="70"/>
  <c r="H21" i="70"/>
  <c r="I21" i="70"/>
  <c r="H22" i="70"/>
  <c r="I22" i="70"/>
  <c r="H23" i="70"/>
  <c r="I23" i="70"/>
  <c r="H24" i="70"/>
  <c r="I24" i="70"/>
  <c r="H25" i="70"/>
  <c r="I25" i="70"/>
  <c r="H26" i="70"/>
  <c r="I26" i="70"/>
  <c r="H27" i="70"/>
  <c r="I27" i="70"/>
  <c r="H28" i="70"/>
  <c r="I28" i="70"/>
  <c r="H29" i="70"/>
  <c r="I29" i="70"/>
  <c r="H30" i="70"/>
  <c r="I30" i="70"/>
  <c r="H31" i="70"/>
  <c r="I31" i="70"/>
  <c r="H32" i="70"/>
  <c r="I32" i="70"/>
  <c r="H33" i="70"/>
  <c r="I33" i="70"/>
  <c r="H34" i="70"/>
  <c r="I34" i="70"/>
  <c r="H35" i="70"/>
  <c r="I35" i="70"/>
  <c r="H36" i="70"/>
  <c r="I36" i="70"/>
  <c r="H37" i="70"/>
  <c r="I37" i="70"/>
  <c r="H38" i="70"/>
  <c r="I38" i="70"/>
  <c r="H39" i="70"/>
  <c r="I39" i="70"/>
  <c r="H40" i="70"/>
  <c r="I40" i="70"/>
  <c r="H41" i="70"/>
  <c r="I41" i="70"/>
  <c r="H42" i="70"/>
  <c r="I42" i="70"/>
  <c r="H43" i="70"/>
  <c r="I43" i="70"/>
  <c r="H44" i="70"/>
  <c r="I44" i="70"/>
  <c r="H45" i="70"/>
  <c r="I45" i="70"/>
  <c r="H46" i="70"/>
  <c r="I46" i="70"/>
  <c r="H47" i="70"/>
  <c r="I47" i="70"/>
  <c r="H48" i="70"/>
  <c r="I48" i="70"/>
  <c r="K45" i="76"/>
  <c r="J45" i="76"/>
  <c r="K44" i="76"/>
  <c r="J44" i="76"/>
  <c r="G45" i="76"/>
  <c r="F45" i="76"/>
  <c r="G44" i="76"/>
  <c r="F44" i="76"/>
  <c r="F11" i="88" l="1"/>
  <c r="G11" i="88"/>
  <c r="C56" i="81" l="1"/>
  <c r="C57" i="81"/>
  <c r="M14" i="83" l="1"/>
  <c r="L14" i="83"/>
  <c r="I14" i="83"/>
  <c r="H14" i="83"/>
  <c r="M13" i="83"/>
  <c r="L13" i="83"/>
  <c r="I13" i="83"/>
  <c r="H13" i="83"/>
  <c r="H3" i="86" l="1"/>
  <c r="H4" i="86"/>
  <c r="H5" i="86"/>
  <c r="F9" i="69" l="1"/>
  <c r="G9" i="69"/>
  <c r="H9" i="69"/>
  <c r="K2" i="90" l="1"/>
  <c r="M13" i="84" l="1"/>
  <c r="L13" i="84"/>
  <c r="I13" i="84"/>
  <c r="B4" i="81" l="1"/>
  <c r="F24" i="82" l="1"/>
  <c r="F25" i="82"/>
  <c r="N13" i="69" l="1"/>
  <c r="N12" i="69"/>
  <c r="N11" i="69"/>
  <c r="N10" i="69"/>
  <c r="L48" i="70"/>
  <c r="L47" i="70"/>
  <c r="L46" i="70"/>
  <c r="L45" i="70"/>
  <c r="N13" i="77"/>
  <c r="N12" i="77"/>
  <c r="N11" i="77"/>
  <c r="N10" i="77"/>
  <c r="K43" i="76"/>
  <c r="J43" i="76"/>
  <c r="G43" i="76"/>
  <c r="F43" i="76"/>
  <c r="K42" i="76"/>
  <c r="J42" i="76"/>
  <c r="G42" i="76"/>
  <c r="F42" i="76"/>
  <c r="B36" i="81"/>
  <c r="B37" i="81"/>
  <c r="B38" i="81"/>
  <c r="B39" i="81"/>
  <c r="B35" i="81"/>
  <c r="L20" i="70" l="1"/>
  <c r="L28" i="70"/>
  <c r="L17" i="70"/>
  <c r="L15" i="70"/>
  <c r="L14" i="70"/>
  <c r="L26" i="70"/>
  <c r="L27" i="70"/>
  <c r="L22" i="70"/>
  <c r="L11" i="70"/>
  <c r="L12" i="70"/>
  <c r="L30" i="70"/>
  <c r="L21" i="70"/>
  <c r="G55" i="87"/>
  <c r="G35" i="87" s="1"/>
  <c r="H2" i="86"/>
  <c r="F55" i="87" l="1"/>
  <c r="J55" i="87"/>
  <c r="D46" i="82"/>
  <c r="I51" i="76"/>
  <c r="H51" i="76"/>
  <c r="J35" i="87" l="1"/>
  <c r="F35" i="87"/>
  <c r="K51" i="76"/>
  <c r="J51" i="76"/>
  <c r="G51" i="76"/>
  <c r="K11" i="89"/>
  <c r="J11" i="89"/>
  <c r="G11" i="89"/>
  <c r="F11" i="89"/>
  <c r="K11" i="88"/>
  <c r="J11" i="88"/>
  <c r="C6" i="88"/>
  <c r="C6" i="89" s="1"/>
  <c r="H49" i="87"/>
  <c r="I49" i="87" s="1"/>
  <c r="G49" i="87"/>
  <c r="F49" i="87" s="1"/>
  <c r="D49" i="87"/>
  <c r="E49" i="87" s="1"/>
  <c r="C49" i="87"/>
  <c r="H48" i="87"/>
  <c r="G48" i="87"/>
  <c r="J48" i="87" s="1"/>
  <c r="D48" i="87"/>
  <c r="C48" i="87"/>
  <c r="H47" i="87"/>
  <c r="G47" i="87"/>
  <c r="D47" i="87"/>
  <c r="F47" i="87" s="1"/>
  <c r="C47" i="87"/>
  <c r="J46" i="87"/>
  <c r="H46" i="87"/>
  <c r="G46" i="87"/>
  <c r="D46" i="87"/>
  <c r="F46" i="87" s="1"/>
  <c r="C46" i="87"/>
  <c r="H45" i="87"/>
  <c r="I45" i="87" s="1"/>
  <c r="G45" i="87"/>
  <c r="D45" i="87"/>
  <c r="D50" i="87" s="1"/>
  <c r="C45" i="87"/>
  <c r="C50" i="87" s="1"/>
  <c r="C6" i="83"/>
  <c r="C6" i="84" s="1"/>
  <c r="I8" i="82"/>
  <c r="H85" i="81"/>
  <c r="H84" i="81"/>
  <c r="H83" i="81"/>
  <c r="H82" i="81"/>
  <c r="H81" i="81"/>
  <c r="H80" i="81"/>
  <c r="H79" i="81"/>
  <c r="H77" i="81"/>
  <c r="H76" i="81"/>
  <c r="H75" i="81"/>
  <c r="H74" i="81"/>
  <c r="H73" i="81"/>
  <c r="H72" i="81"/>
  <c r="H71" i="81"/>
  <c r="H70" i="81"/>
  <c r="H69" i="81"/>
  <c r="H68" i="81"/>
  <c r="H67" i="81"/>
  <c r="H66" i="81"/>
  <c r="H65" i="81"/>
  <c r="H64" i="81"/>
  <c r="H63" i="81"/>
  <c r="H62" i="81"/>
  <c r="H36" i="81" s="1"/>
  <c r="H61" i="81"/>
  <c r="H60" i="81"/>
  <c r="H59" i="81"/>
  <c r="H58" i="81"/>
  <c r="H57" i="81"/>
  <c r="H56" i="81"/>
  <c r="H55" i="81"/>
  <c r="K11" i="84"/>
  <c r="J11" i="84"/>
  <c r="H8" i="82"/>
  <c r="E8" i="82"/>
  <c r="D8" i="82"/>
  <c r="I7" i="82"/>
  <c r="H7" i="82"/>
  <c r="E7" i="82"/>
  <c r="D7" i="82"/>
  <c r="G85" i="81"/>
  <c r="D85" i="81"/>
  <c r="C85" i="81"/>
  <c r="G84" i="81"/>
  <c r="D84" i="81"/>
  <c r="C84" i="81"/>
  <c r="G83" i="81"/>
  <c r="D83" i="81"/>
  <c r="C83" i="81"/>
  <c r="G82" i="81"/>
  <c r="D82" i="81"/>
  <c r="C82" i="81"/>
  <c r="G81" i="81"/>
  <c r="D81" i="81"/>
  <c r="C81" i="81"/>
  <c r="G80" i="81"/>
  <c r="D80" i="81"/>
  <c r="C80" i="81"/>
  <c r="G79" i="81"/>
  <c r="D79" i="81"/>
  <c r="C79" i="81"/>
  <c r="G78" i="81"/>
  <c r="D78" i="81"/>
  <c r="C78" i="81"/>
  <c r="G77" i="81"/>
  <c r="D77" i="81"/>
  <c r="C77" i="81"/>
  <c r="G76" i="81"/>
  <c r="D76" i="81"/>
  <c r="C76" i="81"/>
  <c r="G75" i="81"/>
  <c r="D75" i="81"/>
  <c r="C75" i="81"/>
  <c r="G74" i="81"/>
  <c r="D74" i="81"/>
  <c r="C74" i="81"/>
  <c r="G73" i="81"/>
  <c r="D73" i="81"/>
  <c r="C73" i="81"/>
  <c r="G72" i="81"/>
  <c r="D72" i="81"/>
  <c r="C72" i="81"/>
  <c r="G71" i="81"/>
  <c r="D71" i="81"/>
  <c r="C71" i="81"/>
  <c r="G70" i="81"/>
  <c r="D70" i="81"/>
  <c r="C70" i="81"/>
  <c r="G69" i="81"/>
  <c r="D69" i="81"/>
  <c r="D37" i="81" s="1"/>
  <c r="C69" i="81"/>
  <c r="G68" i="81"/>
  <c r="D68" i="81"/>
  <c r="C68" i="81"/>
  <c r="G67" i="81"/>
  <c r="D67" i="81"/>
  <c r="C67" i="81"/>
  <c r="G66" i="81"/>
  <c r="D66" i="81"/>
  <c r="C66" i="81"/>
  <c r="G65" i="81"/>
  <c r="D65" i="81"/>
  <c r="C65" i="81"/>
  <c r="G64" i="81"/>
  <c r="D64" i="81"/>
  <c r="C64" i="81"/>
  <c r="G63" i="81"/>
  <c r="D63" i="81"/>
  <c r="C63" i="81"/>
  <c r="G62" i="81"/>
  <c r="D62" i="81"/>
  <c r="C62" i="81"/>
  <c r="G61" i="81"/>
  <c r="D61" i="81"/>
  <c r="C61" i="81"/>
  <c r="G60" i="81"/>
  <c r="D60" i="81"/>
  <c r="C60" i="81"/>
  <c r="G59" i="81"/>
  <c r="D59" i="81"/>
  <c r="C59" i="81"/>
  <c r="G58" i="81"/>
  <c r="D58" i="81"/>
  <c r="C58" i="81"/>
  <c r="G57" i="81"/>
  <c r="D57" i="81"/>
  <c r="G56" i="81"/>
  <c r="D56" i="81"/>
  <c r="G55" i="81"/>
  <c r="D55" i="81"/>
  <c r="C55" i="81"/>
  <c r="M12" i="84"/>
  <c r="L12" i="84"/>
  <c r="I12" i="84"/>
  <c r="G11" i="84"/>
  <c r="F11" i="84"/>
  <c r="M12" i="83"/>
  <c r="L12" i="83"/>
  <c r="I12" i="83"/>
  <c r="H12" i="83"/>
  <c r="K11" i="83"/>
  <c r="J11" i="83"/>
  <c r="G11" i="83"/>
  <c r="F11" i="83"/>
  <c r="I46" i="82"/>
  <c r="H46" i="82"/>
  <c r="E46" i="82"/>
  <c r="K45" i="82"/>
  <c r="J45" i="82"/>
  <c r="G45" i="82"/>
  <c r="F45" i="82"/>
  <c r="K43" i="82"/>
  <c r="J43" i="82"/>
  <c r="G43" i="82"/>
  <c r="F43" i="82"/>
  <c r="K42" i="82"/>
  <c r="J42" i="82"/>
  <c r="G42" i="82"/>
  <c r="F42" i="82"/>
  <c r="K41" i="82"/>
  <c r="J41" i="82"/>
  <c r="G41" i="82"/>
  <c r="F41" i="82"/>
  <c r="K40" i="82"/>
  <c r="J40" i="82"/>
  <c r="G40" i="82"/>
  <c r="F40" i="82"/>
  <c r="K39" i="82"/>
  <c r="J39" i="82"/>
  <c r="G39" i="82"/>
  <c r="F39" i="82"/>
  <c r="K38" i="82"/>
  <c r="J38" i="82"/>
  <c r="G38" i="82"/>
  <c r="F38" i="82"/>
  <c r="K37" i="82"/>
  <c r="J37" i="82"/>
  <c r="G37" i="82"/>
  <c r="F37" i="82"/>
  <c r="K36" i="82"/>
  <c r="J36" i="82"/>
  <c r="G36" i="82"/>
  <c r="F36" i="82"/>
  <c r="K35" i="82"/>
  <c r="J35" i="82"/>
  <c r="G35" i="82"/>
  <c r="F35" i="82"/>
  <c r="K25" i="82"/>
  <c r="J25" i="82"/>
  <c r="G25" i="82"/>
  <c r="K24" i="82"/>
  <c r="J24" i="82"/>
  <c r="G24" i="82"/>
  <c r="I18" i="82"/>
  <c r="H18" i="82"/>
  <c r="E18" i="82"/>
  <c r="D18" i="82"/>
  <c r="I17" i="82"/>
  <c r="H17" i="82"/>
  <c r="E17" i="82"/>
  <c r="D17" i="82"/>
  <c r="I16" i="82"/>
  <c r="H16" i="82"/>
  <c r="E16" i="82"/>
  <c r="D16" i="82"/>
  <c r="I15" i="82"/>
  <c r="H15" i="82"/>
  <c r="E15" i="82"/>
  <c r="D15" i="82"/>
  <c r="I14" i="82"/>
  <c r="I19" i="82" s="1"/>
  <c r="H14" i="82"/>
  <c r="H19" i="82" s="1"/>
  <c r="E14" i="82"/>
  <c r="D14" i="82"/>
  <c r="D19" i="82" s="1"/>
  <c r="H49" i="81"/>
  <c r="G49" i="81"/>
  <c r="D49" i="81"/>
  <c r="C49" i="81"/>
  <c r="H48" i="81"/>
  <c r="G48" i="81"/>
  <c r="D48" i="81"/>
  <c r="C48" i="81"/>
  <c r="H47" i="81"/>
  <c r="G47" i="81"/>
  <c r="D47" i="81"/>
  <c r="C47" i="81"/>
  <c r="H46" i="81"/>
  <c r="G46" i="81"/>
  <c r="D46" i="81"/>
  <c r="C46" i="81"/>
  <c r="H45" i="81"/>
  <c r="G45" i="81"/>
  <c r="G50" i="81" s="1"/>
  <c r="D45" i="81"/>
  <c r="C45" i="81"/>
  <c r="C50" i="81" s="1"/>
  <c r="G41" i="76"/>
  <c r="F41" i="76"/>
  <c r="K41" i="76"/>
  <c r="J41" i="76"/>
  <c r="L24" i="70"/>
  <c r="L31" i="70"/>
  <c r="L29" i="70"/>
  <c r="M13" i="77"/>
  <c r="M12" i="77"/>
  <c r="M11" i="77"/>
  <c r="J13" i="77"/>
  <c r="J12" i="77"/>
  <c r="J11" i="77"/>
  <c r="M13" i="69"/>
  <c r="M12" i="69"/>
  <c r="M11" i="69"/>
  <c r="J13" i="69"/>
  <c r="I13" i="69"/>
  <c r="J12" i="69"/>
  <c r="I12" i="69"/>
  <c r="J11" i="69"/>
  <c r="I11" i="69"/>
  <c r="K40" i="76"/>
  <c r="J40" i="76"/>
  <c r="K39" i="76"/>
  <c r="J39" i="76"/>
  <c r="K38" i="76"/>
  <c r="J38" i="76"/>
  <c r="K37" i="76"/>
  <c r="J37" i="76"/>
  <c r="K36" i="76"/>
  <c r="J36" i="76"/>
  <c r="K35" i="76"/>
  <c r="J35" i="76"/>
  <c r="K34" i="76"/>
  <c r="J34" i="76"/>
  <c r="K33" i="76"/>
  <c r="J33" i="76"/>
  <c r="K32" i="76"/>
  <c r="J32" i="76"/>
  <c r="K31" i="76"/>
  <c r="J31" i="76"/>
  <c r="K30" i="76"/>
  <c r="J30" i="76"/>
  <c r="K29" i="76"/>
  <c r="J29" i="76"/>
  <c r="K28" i="76"/>
  <c r="J28" i="76"/>
  <c r="K27" i="76"/>
  <c r="J27" i="76"/>
  <c r="K26" i="76"/>
  <c r="J26" i="76"/>
  <c r="K25" i="76"/>
  <c r="J25" i="76"/>
  <c r="K24" i="76"/>
  <c r="J24" i="76"/>
  <c r="G40" i="76"/>
  <c r="F40" i="76"/>
  <c r="G39" i="76"/>
  <c r="F39" i="76"/>
  <c r="G38" i="76"/>
  <c r="F38" i="76"/>
  <c r="G37" i="76"/>
  <c r="F37" i="76"/>
  <c r="G36" i="76"/>
  <c r="F36" i="76"/>
  <c r="G35" i="76"/>
  <c r="F35" i="76"/>
  <c r="G34" i="76"/>
  <c r="F34" i="76"/>
  <c r="G33" i="76"/>
  <c r="F33" i="76"/>
  <c r="G32" i="76"/>
  <c r="F32" i="76"/>
  <c r="G31" i="76"/>
  <c r="F31" i="76"/>
  <c r="G30" i="76"/>
  <c r="F30" i="76"/>
  <c r="G29" i="76"/>
  <c r="F29" i="76"/>
  <c r="G28" i="76"/>
  <c r="F28" i="76"/>
  <c r="G27" i="76"/>
  <c r="F27" i="76"/>
  <c r="G26" i="76"/>
  <c r="F26" i="76"/>
  <c r="G25" i="76"/>
  <c r="F25" i="76"/>
  <c r="G24" i="76"/>
  <c r="F24" i="76"/>
  <c r="L23" i="70"/>
  <c r="L44" i="70"/>
  <c r="L43" i="70"/>
  <c r="L42" i="70"/>
  <c r="L41" i="70"/>
  <c r="L40" i="70"/>
  <c r="L13" i="70"/>
  <c r="J10" i="70"/>
  <c r="M10" i="77"/>
  <c r="J10" i="77"/>
  <c r="L9" i="77"/>
  <c r="K9" i="77"/>
  <c r="H9" i="77"/>
  <c r="G9" i="77"/>
  <c r="F9" i="77"/>
  <c r="J10" i="69"/>
  <c r="K9" i="69"/>
  <c r="E8" i="76"/>
  <c r="I17" i="76"/>
  <c r="H17" i="76"/>
  <c r="E17" i="76"/>
  <c r="I8" i="76"/>
  <c r="I7" i="76"/>
  <c r="H8" i="76"/>
  <c r="H7" i="76"/>
  <c r="E7" i="76"/>
  <c r="D8" i="76"/>
  <c r="D7" i="76"/>
  <c r="D17" i="76"/>
  <c r="D15" i="76"/>
  <c r="H39" i="81" l="1"/>
  <c r="C39" i="81"/>
  <c r="G35" i="81"/>
  <c r="H37" i="81"/>
  <c r="I37" i="81" s="1"/>
  <c r="C38" i="81"/>
  <c r="D36" i="81"/>
  <c r="G39" i="81"/>
  <c r="J39" i="81" s="1"/>
  <c r="H35" i="81"/>
  <c r="I35" i="81" s="1"/>
  <c r="C35" i="81"/>
  <c r="D39" i="81"/>
  <c r="G36" i="81"/>
  <c r="J36" i="81" s="1"/>
  <c r="H38" i="81"/>
  <c r="G37" i="81"/>
  <c r="J37" i="81" s="1"/>
  <c r="D38" i="81"/>
  <c r="G38" i="81"/>
  <c r="J38" i="81" s="1"/>
  <c r="C36" i="81"/>
  <c r="D35" i="81"/>
  <c r="C37" i="81"/>
  <c r="E37" i="81" s="1"/>
  <c r="H11" i="84"/>
  <c r="H40" i="81"/>
  <c r="C40" i="81"/>
  <c r="E50" i="87"/>
  <c r="J47" i="87"/>
  <c r="J45" i="87"/>
  <c r="I46" i="87"/>
  <c r="I47" i="87"/>
  <c r="J46" i="81"/>
  <c r="E48" i="87"/>
  <c r="E46" i="87"/>
  <c r="I48" i="87"/>
  <c r="N9" i="77"/>
  <c r="E49" i="81"/>
  <c r="E48" i="81"/>
  <c r="I45" i="81"/>
  <c r="F48" i="81"/>
  <c r="I49" i="81"/>
  <c r="E47" i="81"/>
  <c r="J48" i="81"/>
  <c r="M11" i="88"/>
  <c r="J15" i="82"/>
  <c r="M11" i="89"/>
  <c r="G18" i="82"/>
  <c r="I11" i="89"/>
  <c r="F14" i="82"/>
  <c r="H11" i="88"/>
  <c r="I11" i="88"/>
  <c r="C54" i="87"/>
  <c r="C5" i="87" s="1"/>
  <c r="G54" i="87"/>
  <c r="E5" i="87" s="1"/>
  <c r="D54" i="87"/>
  <c r="H54" i="87"/>
  <c r="E45" i="87"/>
  <c r="G50" i="87"/>
  <c r="L11" i="89"/>
  <c r="F45" i="87"/>
  <c r="F48" i="87"/>
  <c r="J49" i="87"/>
  <c r="H50" i="87"/>
  <c r="I50" i="87" s="1"/>
  <c r="H11" i="89"/>
  <c r="L11" i="88"/>
  <c r="E47" i="87"/>
  <c r="K15" i="82"/>
  <c r="E46" i="81"/>
  <c r="F47" i="81"/>
  <c r="J49" i="81"/>
  <c r="E45" i="81"/>
  <c r="I48" i="81"/>
  <c r="F45" i="81"/>
  <c r="I46" i="81"/>
  <c r="I47" i="81"/>
  <c r="H50" i="81"/>
  <c r="J50" i="81" s="1"/>
  <c r="C54" i="81"/>
  <c r="C5" i="81" s="1"/>
  <c r="D54" i="81"/>
  <c r="D5" i="81" s="1"/>
  <c r="G54" i="81"/>
  <c r="E5" i="81" s="1"/>
  <c r="C68" i="10"/>
  <c r="D68" i="10"/>
  <c r="H68" i="10"/>
  <c r="F5" i="10" s="1"/>
  <c r="G68" i="10"/>
  <c r="I72" i="81"/>
  <c r="J84" i="81"/>
  <c r="G15" i="82"/>
  <c r="J16" i="82"/>
  <c r="K18" i="82"/>
  <c r="F17" i="82"/>
  <c r="J17" i="82"/>
  <c r="H78" i="81"/>
  <c r="I64" i="81"/>
  <c r="I82" i="81"/>
  <c r="I61" i="81"/>
  <c r="I11" i="83"/>
  <c r="I75" i="81"/>
  <c r="I84" i="81"/>
  <c r="E85" i="81"/>
  <c r="K16" i="82"/>
  <c r="F18" i="82"/>
  <c r="J74" i="81"/>
  <c r="E19" i="82"/>
  <c r="F19" i="82" s="1"/>
  <c r="G17" i="82"/>
  <c r="J61" i="81"/>
  <c r="J67" i="81"/>
  <c r="J70" i="81"/>
  <c r="G14" i="82"/>
  <c r="F15" i="82"/>
  <c r="K17" i="82"/>
  <c r="J18" i="82"/>
  <c r="I57" i="81"/>
  <c r="I60" i="81"/>
  <c r="I81" i="81"/>
  <c r="I11" i="84"/>
  <c r="L11" i="84"/>
  <c r="L11" i="83"/>
  <c r="F57" i="81"/>
  <c r="F60" i="81"/>
  <c r="F63" i="81"/>
  <c r="F66" i="81"/>
  <c r="F69" i="81"/>
  <c r="F72" i="81"/>
  <c r="F75" i="81"/>
  <c r="F78" i="81"/>
  <c r="F81" i="81"/>
  <c r="G8" i="82"/>
  <c r="J8" i="82"/>
  <c r="F77" i="81"/>
  <c r="F80" i="81"/>
  <c r="F83" i="81"/>
  <c r="F56" i="81"/>
  <c r="F65" i="81"/>
  <c r="F71" i="81"/>
  <c r="F74" i="81"/>
  <c r="I62" i="81"/>
  <c r="I9" i="82"/>
  <c r="J75" i="81"/>
  <c r="J81" i="81"/>
  <c r="F59" i="81"/>
  <c r="F68" i="81"/>
  <c r="F62" i="81"/>
  <c r="F8" i="82"/>
  <c r="H9" i="82"/>
  <c r="E76" i="81"/>
  <c r="F84" i="81"/>
  <c r="E58" i="81"/>
  <c r="E67" i="81"/>
  <c r="I58" i="81"/>
  <c r="J77" i="81"/>
  <c r="I67" i="81"/>
  <c r="E56" i="81"/>
  <c r="E59" i="81"/>
  <c r="E62" i="81"/>
  <c r="I63" i="81"/>
  <c r="E65" i="81"/>
  <c r="I66" i="81"/>
  <c r="E68" i="81"/>
  <c r="I69" i="81"/>
  <c r="E71" i="81"/>
  <c r="E74" i="81"/>
  <c r="E77" i="81"/>
  <c r="E80" i="81"/>
  <c r="E83" i="81"/>
  <c r="J68" i="81"/>
  <c r="E61" i="81"/>
  <c r="E73" i="81"/>
  <c r="E82" i="81"/>
  <c r="J57" i="81"/>
  <c r="J80" i="81"/>
  <c r="F58" i="81"/>
  <c r="F61" i="81"/>
  <c r="F64" i="81"/>
  <c r="F67" i="81"/>
  <c r="F70" i="81"/>
  <c r="F73" i="81"/>
  <c r="F76" i="81"/>
  <c r="F79" i="81"/>
  <c r="F82" i="81"/>
  <c r="F85" i="81"/>
  <c r="E64" i="81"/>
  <c r="E70" i="81"/>
  <c r="E79" i="81"/>
  <c r="J64" i="81"/>
  <c r="J71" i="81"/>
  <c r="I76" i="81"/>
  <c r="I85" i="81"/>
  <c r="E57" i="81"/>
  <c r="E60" i="81"/>
  <c r="E63" i="81"/>
  <c r="E66" i="81"/>
  <c r="E69" i="81"/>
  <c r="I70" i="81"/>
  <c r="E72" i="81"/>
  <c r="I73" i="81"/>
  <c r="E75" i="81"/>
  <c r="E78" i="81"/>
  <c r="I79" i="81"/>
  <c r="E81" i="81"/>
  <c r="M11" i="84"/>
  <c r="M11" i="83"/>
  <c r="H11" i="83"/>
  <c r="F46" i="82"/>
  <c r="G46" i="82"/>
  <c r="J46" i="82"/>
  <c r="K8" i="82"/>
  <c r="D9" i="82"/>
  <c r="G7" i="82"/>
  <c r="E9" i="82"/>
  <c r="F7" i="82"/>
  <c r="J59" i="81"/>
  <c r="J63" i="81"/>
  <c r="J66" i="81"/>
  <c r="J76" i="81"/>
  <c r="J82" i="81"/>
  <c r="J85" i="81"/>
  <c r="E84" i="81"/>
  <c r="J58" i="81"/>
  <c r="J69" i="81"/>
  <c r="J56" i="81"/>
  <c r="J60" i="81"/>
  <c r="J73" i="81"/>
  <c r="J79" i="81"/>
  <c r="J83" i="81"/>
  <c r="J55" i="81"/>
  <c r="I55" i="81"/>
  <c r="K19" i="82"/>
  <c r="I56" i="81"/>
  <c r="I59" i="81"/>
  <c r="I68" i="81"/>
  <c r="I71" i="81"/>
  <c r="I74" i="81"/>
  <c r="I77" i="81"/>
  <c r="I80" i="81"/>
  <c r="I83" i="81"/>
  <c r="F16" i="82"/>
  <c r="F46" i="81"/>
  <c r="J47" i="81"/>
  <c r="F49" i="81"/>
  <c r="D50" i="81"/>
  <c r="E50" i="81" s="1"/>
  <c r="F55" i="81"/>
  <c r="J62" i="81"/>
  <c r="J65" i="81"/>
  <c r="K7" i="82"/>
  <c r="K14" i="82"/>
  <c r="G16" i="82"/>
  <c r="K46" i="82"/>
  <c r="E55" i="81"/>
  <c r="I65" i="81"/>
  <c r="J7" i="82"/>
  <c r="J14" i="82"/>
  <c r="J45" i="81"/>
  <c r="J72" i="81"/>
  <c r="I9" i="77"/>
  <c r="J9" i="77"/>
  <c r="M9" i="77"/>
  <c r="F16" i="76"/>
  <c r="F17" i="76"/>
  <c r="F14" i="76"/>
  <c r="F15" i="76"/>
  <c r="G16" i="76"/>
  <c r="G15" i="76"/>
  <c r="G14" i="76"/>
  <c r="G17" i="76"/>
  <c r="K7" i="76"/>
  <c r="J17" i="76"/>
  <c r="K16" i="76"/>
  <c r="F23" i="76"/>
  <c r="F51" i="76" s="1"/>
  <c r="G23" i="76"/>
  <c r="G7" i="76"/>
  <c r="K15" i="76"/>
  <c r="D18" i="76"/>
  <c r="J15" i="76"/>
  <c r="E18" i="76"/>
  <c r="J23" i="76"/>
  <c r="I18" i="76"/>
  <c r="J7" i="76"/>
  <c r="J14" i="76"/>
  <c r="J16" i="76"/>
  <c r="K14" i="76"/>
  <c r="F7" i="76"/>
  <c r="H18" i="76"/>
  <c r="K23" i="76"/>
  <c r="K17" i="76"/>
  <c r="K10" i="70"/>
  <c r="G10" i="70"/>
  <c r="I10" i="70" s="1"/>
  <c r="F10" i="70"/>
  <c r="F38" i="81" l="1"/>
  <c r="E38" i="81"/>
  <c r="F39" i="81"/>
  <c r="E39" i="81"/>
  <c r="F36" i="81"/>
  <c r="E36" i="81"/>
  <c r="G40" i="81"/>
  <c r="F35" i="81"/>
  <c r="E35" i="81"/>
  <c r="J35" i="81"/>
  <c r="I38" i="81"/>
  <c r="I36" i="81"/>
  <c r="I40" i="81" s="1"/>
  <c r="I39" i="81"/>
  <c r="F37" i="81"/>
  <c r="F40" i="81" s="1"/>
  <c r="E40" i="81"/>
  <c r="D40" i="81"/>
  <c r="I78" i="81"/>
  <c r="F50" i="81"/>
  <c r="I54" i="87"/>
  <c r="F5" i="87"/>
  <c r="J54" i="87"/>
  <c r="F54" i="87"/>
  <c r="E54" i="87"/>
  <c r="D5" i="87"/>
  <c r="F50" i="87"/>
  <c r="J50" i="87"/>
  <c r="H54" i="81"/>
  <c r="F5" i="81" s="1"/>
  <c r="J78" i="81"/>
  <c r="J19" i="82"/>
  <c r="G19" i="82"/>
  <c r="F9" i="82"/>
  <c r="E54" i="81"/>
  <c r="K9" i="82"/>
  <c r="F54" i="81"/>
  <c r="J9" i="82"/>
  <c r="G9" i="82"/>
  <c r="I50" i="81"/>
  <c r="L10" i="70"/>
  <c r="F18" i="76"/>
  <c r="J18" i="76"/>
  <c r="K18" i="76"/>
  <c r="G18" i="76"/>
  <c r="H10" i="70"/>
  <c r="L33" i="70"/>
  <c r="L16" i="70"/>
  <c r="L35" i="70"/>
  <c r="L39" i="70"/>
  <c r="L19" i="70"/>
  <c r="L34" i="70"/>
  <c r="L32" i="70"/>
  <c r="L25" i="70"/>
  <c r="L18" i="70"/>
  <c r="L37" i="70"/>
  <c r="L36" i="70"/>
  <c r="L38" i="70"/>
  <c r="I10" i="69"/>
  <c r="M10" i="69"/>
  <c r="L9" i="69"/>
  <c r="N9" i="69" s="1"/>
  <c r="J9" i="69"/>
  <c r="J40" i="81" l="1"/>
  <c r="I54" i="81"/>
  <c r="J54" i="81"/>
  <c r="M9" i="69"/>
  <c r="I9" i="69"/>
  <c r="C5" i="10" l="1"/>
  <c r="D5" i="10"/>
  <c r="I68" i="10" l="1"/>
  <c r="J68" i="10"/>
  <c r="E5" i="10"/>
  <c r="F68" i="10" l="1"/>
  <c r="E68" i="10"/>
  <c r="D9" i="76" l="1"/>
  <c r="I9" i="76"/>
  <c r="F8" i="76" l="1"/>
  <c r="G8" i="76"/>
  <c r="E9" i="76"/>
  <c r="F9" i="76" s="1"/>
  <c r="K8" i="76"/>
  <c r="J8" i="76"/>
  <c r="H9" i="76"/>
  <c r="J9" i="76" l="1"/>
  <c r="G9" i="76"/>
  <c r="K9" i="76"/>
</calcChain>
</file>

<file path=xl/sharedStrings.xml><?xml version="1.0" encoding="utf-8"?>
<sst xmlns="http://schemas.openxmlformats.org/spreadsheetml/2006/main" count="3003" uniqueCount="778">
  <si>
    <t>구분</t>
    <phoneticPr fontId="2" type="noConversion"/>
  </si>
  <si>
    <t>노출</t>
  </si>
  <si>
    <t>노출</t>
    <phoneticPr fontId="2" type="noConversion"/>
  </si>
  <si>
    <t>클릭</t>
  </si>
  <si>
    <t>클릭</t>
    <phoneticPr fontId="2" type="noConversion"/>
  </si>
  <si>
    <t>누적 달성량</t>
    <phoneticPr fontId="2" type="noConversion"/>
  </si>
  <si>
    <t>▶ 성과 추이</t>
    <phoneticPr fontId="2" type="noConversion"/>
  </si>
  <si>
    <t>▶ 주차별 Total 성과</t>
    <phoneticPr fontId="2" type="noConversion"/>
  </si>
  <si>
    <t>노출수</t>
    <phoneticPr fontId="3" type="noConversion"/>
  </si>
  <si>
    <t>클릭수</t>
    <phoneticPr fontId="3" type="noConversion"/>
  </si>
  <si>
    <t>클릭률</t>
    <phoneticPr fontId="3" type="noConversion"/>
  </si>
  <si>
    <t>CPC</t>
    <phoneticPr fontId="3" type="noConversion"/>
  </si>
  <si>
    <t>광고비</t>
    <phoneticPr fontId="3" type="noConversion"/>
  </si>
  <si>
    <t>매출</t>
    <phoneticPr fontId="3" type="noConversion"/>
  </si>
  <si>
    <t>구매 전환율</t>
    <phoneticPr fontId="3" type="noConversion"/>
  </si>
  <si>
    <t>구매 전환당 비용</t>
    <phoneticPr fontId="3" type="noConversion"/>
  </si>
  <si>
    <t>전주대비</t>
    <phoneticPr fontId="2" type="noConversion"/>
  </si>
  <si>
    <t xml:space="preserve"> TOTAL</t>
    <phoneticPr fontId="2" type="noConversion"/>
  </si>
  <si>
    <t>▶ 일자별 Total 성과</t>
    <phoneticPr fontId="2" type="noConversion"/>
  </si>
  <si>
    <t>합계</t>
    <phoneticPr fontId="2" type="noConversion"/>
  </si>
  <si>
    <t>캠페인</t>
  </si>
  <si>
    <t>광고그룹</t>
  </si>
  <si>
    <t>노출수</t>
  </si>
  <si>
    <t>클릭수</t>
  </si>
  <si>
    <t>전환수</t>
  </si>
  <si>
    <t>소재</t>
  </si>
  <si>
    <t>▶ 상품 별 성과</t>
    <phoneticPr fontId="2" type="noConversion"/>
  </si>
  <si>
    <t>구매수</t>
    <phoneticPr fontId="3" type="noConversion"/>
  </si>
  <si>
    <t>네이버 파워링크</t>
    <phoneticPr fontId="2" type="noConversion"/>
  </si>
  <si>
    <t>시트</t>
    <phoneticPr fontId="2" type="noConversion"/>
  </si>
  <si>
    <t>베개</t>
    <phoneticPr fontId="2" type="noConversion"/>
  </si>
  <si>
    <t>브랜드</t>
    <phoneticPr fontId="2" type="noConversion"/>
  </si>
  <si>
    <t>토퍼</t>
    <phoneticPr fontId="2" type="noConversion"/>
  </si>
  <si>
    <t>인솔</t>
    <phoneticPr fontId="2" type="noConversion"/>
  </si>
  <si>
    <t>광고그룹</t>
    <phoneticPr fontId="2" type="noConversion"/>
  </si>
  <si>
    <t>키워드</t>
    <phoneticPr fontId="2" type="noConversion"/>
  </si>
  <si>
    <t>총합</t>
    <phoneticPr fontId="2" type="noConversion"/>
  </si>
  <si>
    <t>캠페인</t>
    <phoneticPr fontId="2" type="noConversion"/>
  </si>
  <si>
    <t>평균노출순위</t>
    <phoneticPr fontId="2" type="noConversion"/>
  </si>
  <si>
    <t>▶ 캠페인 별 성과</t>
    <phoneticPr fontId="2" type="noConversion"/>
  </si>
  <si>
    <t>파워링크</t>
  </si>
  <si>
    <t>파워링크_소재별 주간 데이터</t>
    <phoneticPr fontId="3" type="noConversion"/>
  </si>
  <si>
    <t>소재</t>
    <phoneticPr fontId="2" type="noConversion"/>
  </si>
  <si>
    <t>전환수</t>
    <phoneticPr fontId="3" type="noConversion"/>
  </si>
  <si>
    <t>전환당 비용</t>
    <phoneticPr fontId="3" type="noConversion"/>
  </si>
  <si>
    <t>전환수</t>
    <phoneticPr fontId="2" type="noConversion"/>
  </si>
  <si>
    <t>매체</t>
  </si>
  <si>
    <t>매출액</t>
  </si>
  <si>
    <t>일자</t>
  </si>
  <si>
    <t>광고비</t>
  </si>
  <si>
    <t>구매수</t>
  </si>
  <si>
    <t>CTR</t>
    <phoneticPr fontId="2" type="noConversion"/>
  </si>
  <si>
    <t>CPC</t>
    <phoneticPr fontId="2" type="noConversion"/>
  </si>
  <si>
    <t>CVR</t>
    <phoneticPr fontId="2" type="noConversion"/>
  </si>
  <si>
    <t>광고비</t>
    <phoneticPr fontId="2" type="noConversion"/>
  </si>
  <si>
    <t>▶ 기기 별 성과</t>
    <phoneticPr fontId="2" type="noConversion"/>
  </si>
  <si>
    <t>일자</t>
    <phoneticPr fontId="2" type="noConversion"/>
  </si>
  <si>
    <t>주차</t>
    <phoneticPr fontId="2" type="noConversion"/>
  </si>
  <si>
    <t>CTR</t>
    <phoneticPr fontId="3" type="noConversion"/>
  </si>
  <si>
    <t>CVR</t>
    <phoneticPr fontId="3" type="noConversion"/>
  </si>
  <si>
    <t>광고비
(vat 포함)</t>
    <phoneticPr fontId="3" type="noConversion"/>
  </si>
  <si>
    <t>▶ 그룹 별 성과</t>
    <phoneticPr fontId="2" type="noConversion"/>
  </si>
  <si>
    <t>PC</t>
  </si>
  <si>
    <t>PC</t>
    <phoneticPr fontId="2" type="noConversion"/>
  </si>
  <si>
    <t>모바일</t>
  </si>
  <si>
    <t>모바일</t>
    <phoneticPr fontId="2" type="noConversion"/>
  </si>
  <si>
    <t>그룹</t>
    <phoneticPr fontId="2" type="noConversion"/>
  </si>
  <si>
    <t>기기</t>
    <phoneticPr fontId="2" type="noConversion"/>
  </si>
  <si>
    <t>* 광고비 내림차순</t>
    <phoneticPr fontId="2" type="noConversion"/>
  </si>
  <si>
    <t>전환당 비용</t>
  </si>
  <si>
    <t>비사업자카드단말기</t>
  </si>
  <si>
    <t>무선카드단말기</t>
  </si>
  <si>
    <t>카드결제기</t>
  </si>
  <si>
    <t>카드단말기</t>
  </si>
  <si>
    <t>개인사업자카드단말기</t>
  </si>
  <si>
    <t>휴대용카드단말기</t>
  </si>
  <si>
    <t>파워링크_키워드별 주간 데이터 (MO)</t>
    <phoneticPr fontId="3" type="noConversion"/>
  </si>
  <si>
    <t>소재 ID (누적)</t>
    <phoneticPr fontId="2" type="noConversion"/>
  </si>
  <si>
    <t>소재명</t>
    <phoneticPr fontId="2" type="noConversion"/>
  </si>
  <si>
    <t>단말기 소재1</t>
    <phoneticPr fontId="2" type="noConversion"/>
  </si>
  <si>
    <t>비사업자 소재1</t>
    <phoneticPr fontId="2" type="noConversion"/>
  </si>
  <si>
    <t>수기 소재1</t>
    <phoneticPr fontId="2" type="noConversion"/>
  </si>
  <si>
    <t>페이파란 메인 파워링크(콘텐츠지면)</t>
  </si>
  <si>
    <t>유선카드단말기</t>
  </si>
  <si>
    <t>nad-a001-01-000000292775481</t>
  </si>
  <si>
    <t>nad-a001-01-000000293169289</t>
  </si>
  <si>
    <t>nad-a001-01-000000293169292</t>
  </si>
  <si>
    <t>nad-a001-01-000000293191159</t>
  </si>
  <si>
    <t>nad-a001-01-000000293191663</t>
  </si>
  <si>
    <t>nad-a001-01-000000293559253</t>
  </si>
  <si>
    <t>nad-a001-01-000000293976798</t>
  </si>
  <si>
    <t>nad-a001-01-000000294607666</t>
  </si>
  <si>
    <t>nad-a001-01-000000294607693</t>
  </si>
  <si>
    <t>nad-a001-01-000000294607718</t>
  </si>
  <si>
    <t>nad-a001-01-000000296429845</t>
  </si>
  <si>
    <t>nad-a001-01-000000296429846</t>
  </si>
  <si>
    <t>nad-a001-01-000000296429847</t>
  </si>
  <si>
    <t>nad-a001-01-000000296429848</t>
  </si>
  <si>
    <t>nad-a001-01-000000296429851</t>
  </si>
  <si>
    <t>nad-a001-01-000000296429853</t>
  </si>
  <si>
    <t>nad-a001-01-000000296429855</t>
  </si>
  <si>
    <t>nad-a001-01-000000296429952</t>
  </si>
  <si>
    <t>nad-a001-01-000000296429953</t>
  </si>
  <si>
    <t>nad-a001-01-000000296429955</t>
  </si>
  <si>
    <t>nad-a001-01-000000297114013</t>
  </si>
  <si>
    <t>nad-a001-01-000000297114014</t>
  </si>
  <si>
    <t>nad-a001-01-000000297114018</t>
  </si>
  <si>
    <t>nad-a001-01-000000297114020</t>
  </si>
  <si>
    <t>nad-a001-01-000000297114021</t>
  </si>
  <si>
    <t>nad-a001-01-000000297114024</t>
  </si>
  <si>
    <t>nad-a001-01-000000297114032</t>
  </si>
  <si>
    <t>nad-a001-01-000000297114034</t>
  </si>
  <si>
    <t>nad-a001-01-000000297114035</t>
  </si>
  <si>
    <t>nad-a001-01-000000297114037</t>
  </si>
  <si>
    <t>nad-a001-01-000000297114038</t>
  </si>
  <si>
    <t>nad-a001-01-000000297114040</t>
  </si>
  <si>
    <t>nad-a001-01-000000297114042</t>
  </si>
  <si>
    <t>nad-a001-01-000000297114043</t>
  </si>
  <si>
    <t>nad-a001-01-000000297114071</t>
  </si>
  <si>
    <t>nad-a001-01-000000297114073</t>
  </si>
  <si>
    <t>nad-a001-01-000000297114075</t>
  </si>
  <si>
    <t>nad-a001-01-000000297114118</t>
  </si>
  <si>
    <t>nad-a001-01-000000297466723</t>
  </si>
  <si>
    <t>nad-a001-01-000000297467330</t>
  </si>
  <si>
    <t>nad-a001-01-000000297467346</t>
  </si>
  <si>
    <t>nad-a001-01-000000297467349</t>
  </si>
  <si>
    <t>nad-a001-01-000000297467350</t>
  </si>
  <si>
    <t>nad-a001-01-000000297473712</t>
  </si>
  <si>
    <t>nad-a001-01-000000297994056</t>
  </si>
  <si>
    <t>nad-a001-01-000000297994057</t>
  </si>
  <si>
    <t>nad-a001-01-000000297994060</t>
  </si>
  <si>
    <t>nad-a001-01-000000297994061</t>
  </si>
  <si>
    <t>nad-a001-01-000000297994063</t>
  </si>
  <si>
    <t>nad-a001-01-000000297994064</t>
  </si>
  <si>
    <t>nad-a001-01-000000297994065</t>
  </si>
  <si>
    <t>nad-a001-01-000000297994073</t>
  </si>
  <si>
    <t>nad-a001-01-000000297994074</t>
  </si>
  <si>
    <t>nad-a001-01-000000297994076</t>
  </si>
  <si>
    <t>nad-a001-01-000000297994079</t>
  </si>
  <si>
    <t>nad-a001-01-000000297994083</t>
  </si>
  <si>
    <t>nad-a001-01-000000297994084</t>
  </si>
  <si>
    <t>nad-a001-01-000000297994148</t>
  </si>
  <si>
    <t>nad-a001-01-000000297994164</t>
  </si>
  <si>
    <t>nad-a001-01-000000297994167</t>
  </si>
  <si>
    <t>nad-a001-01-000000297994174</t>
  </si>
  <si>
    <t>nad-a001-01-000000297994185</t>
  </si>
  <si>
    <t>nad-a001-01-000000297994191</t>
  </si>
  <si>
    <t>nad-a001-01-000000297994196</t>
  </si>
  <si>
    <t>nad-a001-01-000000297994199</t>
  </si>
  <si>
    <t>단말기 소재2</t>
    <phoneticPr fontId="2" type="noConversion"/>
  </si>
  <si>
    <t>교육/서비스 소재1</t>
    <phoneticPr fontId="2" type="noConversion"/>
  </si>
  <si>
    <t>교육/서비스 소재2</t>
    <phoneticPr fontId="2" type="noConversion"/>
  </si>
  <si>
    <t>도매/숙박 소재1</t>
    <phoneticPr fontId="2" type="noConversion"/>
  </si>
  <si>
    <t>도매/숙박 소재2</t>
    <phoneticPr fontId="2" type="noConversion"/>
  </si>
  <si>
    <t>병원 소재1</t>
    <phoneticPr fontId="2" type="noConversion"/>
  </si>
  <si>
    <t>병원 소재2</t>
    <phoneticPr fontId="2" type="noConversion"/>
  </si>
  <si>
    <t>nad-a001-01-000000297994144</t>
    <phoneticPr fontId="2" type="noConversion"/>
  </si>
  <si>
    <t>요식업 소재1</t>
    <phoneticPr fontId="2" type="noConversion"/>
  </si>
  <si>
    <t>요식업 소재2</t>
    <phoneticPr fontId="2" type="noConversion"/>
  </si>
  <si>
    <t>운동 소재1</t>
    <phoneticPr fontId="2" type="noConversion"/>
  </si>
  <si>
    <t>차량 소재1</t>
    <phoneticPr fontId="2" type="noConversion"/>
  </si>
  <si>
    <t>차량 소재2</t>
    <phoneticPr fontId="2" type="noConversion"/>
  </si>
  <si>
    <t>▶ 코멘트</t>
    <phoneticPr fontId="2" type="noConversion"/>
  </si>
  <si>
    <t>nad-a001-01-000000299101594</t>
    <phoneticPr fontId="2" type="noConversion"/>
  </si>
  <si>
    <t>단말기 소재1-1</t>
    <phoneticPr fontId="2" type="noConversion"/>
  </si>
  <si>
    <t>nad-a001-01-000000299101595</t>
    <phoneticPr fontId="2" type="noConversion"/>
  </si>
  <si>
    <t>단말기 소재3</t>
    <phoneticPr fontId="2" type="noConversion"/>
  </si>
  <si>
    <t>nad-a001-01-000000299101596</t>
    <phoneticPr fontId="2" type="noConversion"/>
  </si>
  <si>
    <t>nad-a001-01-000000299101597</t>
    <phoneticPr fontId="2" type="noConversion"/>
  </si>
  <si>
    <t>nad-a001-01-000000299101599</t>
    <phoneticPr fontId="2" type="noConversion"/>
  </si>
  <si>
    <t>nad-a001-01-000000299101598</t>
    <phoneticPr fontId="2" type="noConversion"/>
  </si>
  <si>
    <t>nad-a001-01-000000299101600</t>
    <phoneticPr fontId="2" type="noConversion"/>
  </si>
  <si>
    <t>nad-a001-01-000000299101601</t>
    <phoneticPr fontId="2" type="noConversion"/>
  </si>
  <si>
    <t>nad-a001-01-000000299101570</t>
    <phoneticPr fontId="2" type="noConversion"/>
  </si>
  <si>
    <t>nad-a001-01-000000299101571</t>
    <phoneticPr fontId="2" type="noConversion"/>
  </si>
  <si>
    <t>비사업자 소재1-1</t>
    <phoneticPr fontId="2" type="noConversion"/>
  </si>
  <si>
    <t>nad-a001-01-000000299101572</t>
    <phoneticPr fontId="2" type="noConversion"/>
  </si>
  <si>
    <t>nad-a001-01-000000299101573</t>
    <phoneticPr fontId="2" type="noConversion"/>
  </si>
  <si>
    <t>nad-a001-01-000000299101575</t>
    <phoneticPr fontId="2" type="noConversion"/>
  </si>
  <si>
    <t>nad-a001-01-000000299101574</t>
    <phoneticPr fontId="2" type="noConversion"/>
  </si>
  <si>
    <t>nad-a001-01-000000299101577</t>
    <phoneticPr fontId="2" type="noConversion"/>
  </si>
  <si>
    <t>nad-a001-01-000000299101576</t>
    <phoneticPr fontId="2" type="noConversion"/>
  </si>
  <si>
    <t>nad-a001-01-000000299101619</t>
    <phoneticPr fontId="2" type="noConversion"/>
  </si>
  <si>
    <t>수기 소재1-1</t>
    <phoneticPr fontId="2" type="noConversion"/>
  </si>
  <si>
    <t>nad-a001-01-000000299101618</t>
    <phoneticPr fontId="2" type="noConversion"/>
  </si>
  <si>
    <t>수기 소재2</t>
    <phoneticPr fontId="2" type="noConversion"/>
  </si>
  <si>
    <t>비사업자 소재2</t>
    <phoneticPr fontId="2" type="noConversion"/>
  </si>
  <si>
    <t>nad-a001-01-000000299101621</t>
    <phoneticPr fontId="2" type="noConversion"/>
  </si>
  <si>
    <t>nad-a001-01-000000299101622</t>
    <phoneticPr fontId="2" type="noConversion"/>
  </si>
  <si>
    <t>nad-a001-01-000000299101623</t>
    <phoneticPr fontId="2" type="noConversion"/>
  </si>
  <si>
    <t>nad-a001-01-000000299101624</t>
    <phoneticPr fontId="2" type="noConversion"/>
  </si>
  <si>
    <t>nad-a001-01-000000299101625</t>
    <phoneticPr fontId="2" type="noConversion"/>
  </si>
  <si>
    <t>nad-a001-01-000000299101626</t>
    <phoneticPr fontId="2" type="noConversion"/>
  </si>
  <si>
    <t>nad-a001-01-000000299101602</t>
    <phoneticPr fontId="2" type="noConversion"/>
  </si>
  <si>
    <t>nad-a001-01-000000299101603</t>
    <phoneticPr fontId="2" type="noConversion"/>
  </si>
  <si>
    <t>nad-a001-01-000000299101604</t>
    <phoneticPr fontId="2" type="noConversion"/>
  </si>
  <si>
    <t>nad-a001-01-000000299101605</t>
    <phoneticPr fontId="2" type="noConversion"/>
  </si>
  <si>
    <t>nad-a001-01-000000299101606</t>
    <phoneticPr fontId="2" type="noConversion"/>
  </si>
  <si>
    <t>nad-a001-01-000000299101607</t>
    <phoneticPr fontId="2" type="noConversion"/>
  </si>
  <si>
    <t>nad-a001-01-000000299101608</t>
    <phoneticPr fontId="2" type="noConversion"/>
  </si>
  <si>
    <t>nad-a001-01-000000299101609</t>
    <phoneticPr fontId="2" type="noConversion"/>
  </si>
  <si>
    <t>nad-a001-01-000000299101579</t>
    <phoneticPr fontId="2" type="noConversion"/>
  </si>
  <si>
    <t>nad-a001-01-000000299101578</t>
    <phoneticPr fontId="2" type="noConversion"/>
  </si>
  <si>
    <t>nad-a001-01-000000299101580</t>
    <phoneticPr fontId="2" type="noConversion"/>
  </si>
  <si>
    <t>nad-a001-01-000000299101581</t>
    <phoneticPr fontId="2" type="noConversion"/>
  </si>
  <si>
    <t>nad-a001-01-000000299101583</t>
    <phoneticPr fontId="2" type="noConversion"/>
  </si>
  <si>
    <t>nad-a001-01-000000299101582</t>
    <phoneticPr fontId="2" type="noConversion"/>
  </si>
  <si>
    <t>nad-a001-01-000000299101585</t>
    <phoneticPr fontId="2" type="noConversion"/>
  </si>
  <si>
    <t>nad-a001-01-000000299101584</t>
    <phoneticPr fontId="2" type="noConversion"/>
  </si>
  <si>
    <t>nad-a001-01-000000299101628</t>
    <phoneticPr fontId="2" type="noConversion"/>
  </si>
  <si>
    <t>nad-a001-01-000000299101627</t>
    <phoneticPr fontId="2" type="noConversion"/>
  </si>
  <si>
    <t>nad-a001-01-000000299101629</t>
    <phoneticPr fontId="2" type="noConversion"/>
  </si>
  <si>
    <t>nad-a001-01-000000299101630</t>
    <phoneticPr fontId="2" type="noConversion"/>
  </si>
  <si>
    <t>nad-a001-01-000000299101632</t>
    <phoneticPr fontId="2" type="noConversion"/>
  </si>
  <si>
    <t>nad-a001-01-000000299101631</t>
    <phoneticPr fontId="2" type="noConversion"/>
  </si>
  <si>
    <t>nad-a001-01-000000299101634</t>
    <phoneticPr fontId="2" type="noConversion"/>
  </si>
  <si>
    <t>nad-a001-01-000000299101633</t>
    <phoneticPr fontId="2" type="noConversion"/>
  </si>
  <si>
    <t>nad-a001-01-000000299101643</t>
    <phoneticPr fontId="2" type="noConversion"/>
  </si>
  <si>
    <t>nad-a001-01-000000299101644</t>
    <phoneticPr fontId="2" type="noConversion"/>
  </si>
  <si>
    <t>교육/서비스 소재1-1</t>
    <phoneticPr fontId="2" type="noConversion"/>
  </si>
  <si>
    <t>교육/서비스 소재2-1</t>
    <phoneticPr fontId="2" type="noConversion"/>
  </si>
  <si>
    <t>nad-a001-01-000000299101645</t>
    <phoneticPr fontId="2" type="noConversion"/>
  </si>
  <si>
    <t>nad-a001-01-000000299101646</t>
    <phoneticPr fontId="2" type="noConversion"/>
  </si>
  <si>
    <t>nad-a001-01-000000299101647</t>
    <phoneticPr fontId="2" type="noConversion"/>
  </si>
  <si>
    <t>nad-a001-01-000000299101648</t>
    <phoneticPr fontId="2" type="noConversion"/>
  </si>
  <si>
    <t>nad-a001-01-000000299101649</t>
    <phoneticPr fontId="2" type="noConversion"/>
  </si>
  <si>
    <t>nad-a001-01-000000299101650</t>
    <phoneticPr fontId="2" type="noConversion"/>
  </si>
  <si>
    <t>nad-a001-01-000000299101655</t>
    <phoneticPr fontId="2" type="noConversion"/>
  </si>
  <si>
    <t>nad-a001-01-000000299101656</t>
    <phoneticPr fontId="2" type="noConversion"/>
  </si>
  <si>
    <t>도매/숙박 소재1-1</t>
    <phoneticPr fontId="2" type="noConversion"/>
  </si>
  <si>
    <t>도매/숙박 소재2-1</t>
    <phoneticPr fontId="2" type="noConversion"/>
  </si>
  <si>
    <t>nad-a001-01-000000299101657</t>
    <phoneticPr fontId="2" type="noConversion"/>
  </si>
  <si>
    <t>nad-a001-01-000000299101658</t>
    <phoneticPr fontId="2" type="noConversion"/>
  </si>
  <si>
    <t>nad-a001-01-000000299101651</t>
    <phoneticPr fontId="2" type="noConversion"/>
  </si>
  <si>
    <t>nad-a001-01-000000299101652</t>
    <phoneticPr fontId="2" type="noConversion"/>
  </si>
  <si>
    <t>nad-a001-01-000000299101653</t>
    <phoneticPr fontId="2" type="noConversion"/>
  </si>
  <si>
    <t>nad-a001-01-000000299101654</t>
    <phoneticPr fontId="2" type="noConversion"/>
  </si>
  <si>
    <t>nad-a001-01-000000299101659</t>
    <phoneticPr fontId="2" type="noConversion"/>
  </si>
  <si>
    <t>nad-a001-01-000000299101660</t>
    <phoneticPr fontId="2" type="noConversion"/>
  </si>
  <si>
    <t>병원 소재1-1</t>
    <phoneticPr fontId="2" type="noConversion"/>
  </si>
  <si>
    <t>병원 소재2-1</t>
    <phoneticPr fontId="2" type="noConversion"/>
  </si>
  <si>
    <t>nad-a001-01-000000299101662</t>
    <phoneticPr fontId="2" type="noConversion"/>
  </si>
  <si>
    <t>nad-a001-01-000000299101661</t>
    <phoneticPr fontId="2" type="noConversion"/>
  </si>
  <si>
    <t>nad-a001-01-000000299101663</t>
    <phoneticPr fontId="2" type="noConversion"/>
  </si>
  <si>
    <t>nad-a001-01-000000299101664</t>
    <phoneticPr fontId="2" type="noConversion"/>
  </si>
  <si>
    <t>nad-a001-01-000000299101665</t>
    <phoneticPr fontId="2" type="noConversion"/>
  </si>
  <si>
    <t>nad-a001-01-000000299101666</t>
    <phoneticPr fontId="2" type="noConversion"/>
  </si>
  <si>
    <t>nad-a001-01-000000299101669</t>
    <phoneticPr fontId="2" type="noConversion"/>
  </si>
  <si>
    <t>뷰티 소재1</t>
    <phoneticPr fontId="2" type="noConversion"/>
  </si>
  <si>
    <t>nad-a001-01-000000299104618</t>
    <phoneticPr fontId="2" type="noConversion"/>
  </si>
  <si>
    <t>뷰티 소재2</t>
    <phoneticPr fontId="2" type="noConversion"/>
  </si>
  <si>
    <t>nad-a001-01-000000299101670</t>
    <phoneticPr fontId="2" type="noConversion"/>
  </si>
  <si>
    <t>nad-a001-01-000000299104619</t>
    <phoneticPr fontId="2" type="noConversion"/>
  </si>
  <si>
    <t>nad-a001-01-000000299101667</t>
    <phoneticPr fontId="2" type="noConversion"/>
  </si>
  <si>
    <t>nad-a001-01-000000299104616</t>
    <phoneticPr fontId="2" type="noConversion"/>
  </si>
  <si>
    <t>nad-a001-01-000000299101668</t>
    <phoneticPr fontId="2" type="noConversion"/>
  </si>
  <si>
    <t>nad-a001-01-000000299104617</t>
    <phoneticPr fontId="2" type="noConversion"/>
  </si>
  <si>
    <t>nad-a001-01-000000299101671</t>
    <phoneticPr fontId="2" type="noConversion"/>
  </si>
  <si>
    <t>스포츠/여가 소재1</t>
    <phoneticPr fontId="2" type="noConversion"/>
  </si>
  <si>
    <t>스포츠/여가 소재2</t>
    <phoneticPr fontId="2" type="noConversion"/>
  </si>
  <si>
    <t>nad-a001-01-000000299101672</t>
    <phoneticPr fontId="2" type="noConversion"/>
  </si>
  <si>
    <t>nad-a001-01-000000299101673</t>
    <phoneticPr fontId="2" type="noConversion"/>
  </si>
  <si>
    <t>nad-a001-01-000000299101674</t>
    <phoneticPr fontId="2" type="noConversion"/>
  </si>
  <si>
    <t>nad-a001-01-000000299101676</t>
    <phoneticPr fontId="2" type="noConversion"/>
  </si>
  <si>
    <t>nad-a001-01-000000299101675</t>
    <phoneticPr fontId="2" type="noConversion"/>
  </si>
  <si>
    <t>nad-a001-01-000000299101677</t>
    <phoneticPr fontId="2" type="noConversion"/>
  </si>
  <si>
    <t>nad-a001-01-000000299101678</t>
    <phoneticPr fontId="2" type="noConversion"/>
  </si>
  <si>
    <t>nad-a001-01-000000299101683</t>
    <phoneticPr fontId="2" type="noConversion"/>
  </si>
  <si>
    <t>nad-a001-01-000000299101684</t>
    <phoneticPr fontId="2" type="noConversion"/>
  </si>
  <si>
    <t>요식업 소재1-1</t>
    <phoneticPr fontId="2" type="noConversion"/>
  </si>
  <si>
    <t>요식업 소재2-1</t>
    <phoneticPr fontId="2" type="noConversion"/>
  </si>
  <si>
    <t>nad-a001-01-000000299101685</t>
    <phoneticPr fontId="2" type="noConversion"/>
  </si>
  <si>
    <t>nad-a001-01-000000299101686</t>
    <phoneticPr fontId="2" type="noConversion"/>
  </si>
  <si>
    <t>nad-a001-01-000000299101679</t>
    <phoneticPr fontId="2" type="noConversion"/>
  </si>
  <si>
    <t>nad-a001-01-000000299101680</t>
    <phoneticPr fontId="2" type="noConversion"/>
  </si>
  <si>
    <t>nad-a001-01-000000299101681</t>
    <phoneticPr fontId="2" type="noConversion"/>
  </si>
  <si>
    <t>nad-a001-01-000000299101682</t>
    <phoneticPr fontId="2" type="noConversion"/>
  </si>
  <si>
    <t>nad-a001-01-000000299101687</t>
    <phoneticPr fontId="2" type="noConversion"/>
  </si>
  <si>
    <t>운동 소재1-1</t>
    <phoneticPr fontId="2" type="noConversion"/>
  </si>
  <si>
    <t>nad-a001-01-000000299104620</t>
    <phoneticPr fontId="2" type="noConversion"/>
  </si>
  <si>
    <t>운동 소재2</t>
    <phoneticPr fontId="2" type="noConversion"/>
  </si>
  <si>
    <t>nad-a001-01-000000299101688</t>
    <phoneticPr fontId="2" type="noConversion"/>
  </si>
  <si>
    <t>nad-a001-01-000000299104621</t>
    <phoneticPr fontId="2" type="noConversion"/>
  </si>
  <si>
    <t>nad-a001-01-000000299101689</t>
    <phoneticPr fontId="2" type="noConversion"/>
  </si>
  <si>
    <t>nad-a001-01-000000299104622</t>
    <phoneticPr fontId="2" type="noConversion"/>
  </si>
  <si>
    <t>nad-a001-01-000000299101690</t>
    <phoneticPr fontId="2" type="noConversion"/>
  </si>
  <si>
    <t>nad-a001-01-000000299104623</t>
    <phoneticPr fontId="2" type="noConversion"/>
  </si>
  <si>
    <t>nad-a001-01-000000299101695</t>
    <phoneticPr fontId="2" type="noConversion"/>
  </si>
  <si>
    <t>nad-a001-01-000000299101696</t>
    <phoneticPr fontId="2" type="noConversion"/>
  </si>
  <si>
    <t>차량 소재1-1</t>
    <phoneticPr fontId="2" type="noConversion"/>
  </si>
  <si>
    <t>차량 소재2-1</t>
    <phoneticPr fontId="2" type="noConversion"/>
  </si>
  <si>
    <t>nad-a001-01-000000299101697</t>
    <phoneticPr fontId="2" type="noConversion"/>
  </si>
  <si>
    <t>nad-a001-01-000000299101698</t>
    <phoneticPr fontId="2" type="noConversion"/>
  </si>
  <si>
    <t>nad-a001-01-000000299101692</t>
    <phoneticPr fontId="2" type="noConversion"/>
  </si>
  <si>
    <t>nad-a001-01-000000299101691</t>
    <phoneticPr fontId="2" type="noConversion"/>
  </si>
  <si>
    <t>nad-a001-01-000000299101693</t>
    <phoneticPr fontId="2" type="noConversion"/>
  </si>
  <si>
    <t>nad-a001-01-000000299101694</t>
    <phoneticPr fontId="2" type="noConversion"/>
  </si>
  <si>
    <t>nad-a001-01-000000297994075</t>
  </si>
  <si>
    <t>nad-a001-01-000000297994087</t>
  </si>
  <si>
    <t>nad-a001-01-000000297994088</t>
  </si>
  <si>
    <t>nad-a001-01-000000297994089</t>
  </si>
  <si>
    <t>nad-a001-01-000000297994095</t>
  </si>
  <si>
    <t>nad-a001-01-000000297994137</t>
  </si>
  <si>
    <t>nad-a001-01-000000297994154</t>
  </si>
  <si>
    <t>nad-a001-01-000000297994158</t>
  </si>
  <si>
    <t>nad-a001-01-000000297994179</t>
  </si>
  <si>
    <t>nad-a001-01-000000297994194</t>
  </si>
  <si>
    <t>nad-a001-01-000000297995169</t>
  </si>
  <si>
    <t>nad-a001-01-000000297995270</t>
  </si>
  <si>
    <t>nad-a001-01-000000297995296</t>
  </si>
  <si>
    <t>nad-a001-01-000000299039905</t>
  </si>
  <si>
    <t>nad-a001-01-000000299039911</t>
  </si>
  <si>
    <t>nad-a001-01-000000299039918</t>
  </si>
  <si>
    <t>nad-a001-01-000000299039925</t>
  </si>
  <si>
    <t>nad-a001-01-000000299039946</t>
  </si>
  <si>
    <t>nad-a001-01-000000299039958</t>
  </si>
  <si>
    <t>nad-a001-01-000000299039974</t>
  </si>
  <si>
    <t>nad-a001-01-000000299040182</t>
  </si>
  <si>
    <t>nad-a001-01-000000299040215</t>
  </si>
  <si>
    <t>nad-a001-01-000000299040237</t>
  </si>
  <si>
    <t>nad-a001-01-000000299040267</t>
  </si>
  <si>
    <t>nad-a001-01-000000299040274</t>
  </si>
  <si>
    <t>nad-a001-01-000000299040284</t>
  </si>
  <si>
    <t>nad-a001-01-000000299040476</t>
  </si>
  <si>
    <t>nad-a001-01-000000299040482</t>
  </si>
  <si>
    <t>nad-a001-01-000000299040580</t>
  </si>
  <si>
    <t>nad-a001-01-000000299040599</t>
  </si>
  <si>
    <t>nad-a001-01-000000299040630</t>
  </si>
  <si>
    <t>nad-a001-01-000000299040650</t>
  </si>
  <si>
    <t>nad-a001-01-000000299040672</t>
  </si>
  <si>
    <t>nad-a001-01-000000299040688</t>
  </si>
  <si>
    <t>nad-a001-01-000000299040698</t>
  </si>
  <si>
    <t>nad-a001-01-000000299101586</t>
  </si>
  <si>
    <t>nad-a001-01-000000299101587</t>
  </si>
  <si>
    <t>nad-a001-01-000000299101588</t>
  </si>
  <si>
    <t>nad-a001-01-000000299101589</t>
  </si>
  <si>
    <t>nad-a001-01-000000299101590</t>
  </si>
  <si>
    <t>nad-a001-01-000000299101591</t>
  </si>
  <si>
    <t>nad-a001-01-000000299101610</t>
  </si>
  <si>
    <t>nad-a001-01-000000299101611</t>
  </si>
  <si>
    <t>nad-a001-01-000000299101612</t>
  </si>
  <si>
    <t>nad-a001-01-000000299101613</t>
  </si>
  <si>
    <t>nad-a001-01-000000299101616</t>
  </si>
  <si>
    <t>nad-a001-01-000000299101617</t>
  </si>
  <si>
    <t>nad-a001-01-000000299101635</t>
  </si>
  <si>
    <t>nad-a001-01-000000299101636</t>
  </si>
  <si>
    <t>nad-a001-01-000000299101637</t>
  </si>
  <si>
    <t>nad-a001-01-000000299101638</t>
  </si>
  <si>
    <t>nad-a001-01-000000299101639</t>
  </si>
  <si>
    <t>nad-a001-01-000000299101640</t>
  </si>
  <si>
    <t>nad-a001-01-000000299101641</t>
  </si>
  <si>
    <t>nad-a001-01-000000299101642</t>
  </si>
  <si>
    <t>도매, 숙박 소재1</t>
    <phoneticPr fontId="2" type="noConversion"/>
  </si>
  <si>
    <t>스포츠, 여가 소재2</t>
    <phoneticPr fontId="2" type="noConversion"/>
  </si>
  <si>
    <t>수기 소재 1-1</t>
    <phoneticPr fontId="2" type="noConversion"/>
  </si>
  <si>
    <t>페이파란 서브 파워링크(콘텐츠지면)</t>
    <phoneticPr fontId="2" type="noConversion"/>
  </si>
  <si>
    <t>카카오 검색광고</t>
    <phoneticPr fontId="2" type="noConversion"/>
  </si>
  <si>
    <t>나라페이 메인 파워링크(검색지면)</t>
  </si>
  <si>
    <t>나라페이 메인 파워링크(콘텐츠지면)</t>
  </si>
  <si>
    <t>나라페이 서브 파워링크(검색지면)</t>
  </si>
  <si>
    <t>나라페이 서브 파워링크(콘텐츠지면)</t>
    <phoneticPr fontId="2" type="noConversion"/>
  </si>
  <si>
    <t>나라페이 파워컨텐츠</t>
    <phoneticPr fontId="2" type="noConversion"/>
  </si>
  <si>
    <t>카카오_키워드별 주간 데이터 (PC)</t>
    <phoneticPr fontId="3" type="noConversion"/>
  </si>
  <si>
    <t>* (PC)</t>
    <phoneticPr fontId="2" type="noConversion"/>
  </si>
  <si>
    <t>신용카드단말기</t>
  </si>
  <si>
    <t>카카오_키워드별 주간 데이터 (MO)</t>
    <phoneticPr fontId="3" type="noConversion"/>
  </si>
  <si>
    <t>* (MO)</t>
    <phoneticPr fontId="2" type="noConversion"/>
  </si>
  <si>
    <t>프리미엄링크</t>
  </si>
  <si>
    <t>페이파란</t>
  </si>
  <si>
    <t>구글 검색광고</t>
    <phoneticPr fontId="2" type="noConversion"/>
  </si>
  <si>
    <t>SA_페이파란</t>
  </si>
  <si>
    <t>변환</t>
    <phoneticPr fontId="2" type="noConversion"/>
  </si>
  <si>
    <t>컴퓨터</t>
    <phoneticPr fontId="2" type="noConversion"/>
  </si>
  <si>
    <t>휴대전화</t>
    <phoneticPr fontId="2" type="noConversion"/>
  </si>
  <si>
    <t>태블릿</t>
    <phoneticPr fontId="2" type="noConversion"/>
  </si>
  <si>
    <t>광고비(*1.1)</t>
    <phoneticPr fontId="2" type="noConversion"/>
  </si>
  <si>
    <t>nad-a001-01-000000311161215</t>
  </si>
  <si>
    <t>nad-a001-01-000000311161236</t>
  </si>
  <si>
    <t>nad-a001-01-000000311161287</t>
  </si>
  <si>
    <t>nad-a001-01-000000311161288</t>
  </si>
  <si>
    <t>nad-a001-01-000000311161289</t>
  </si>
  <si>
    <t>nad-a001-01-000000311161290</t>
  </si>
  <si>
    <t>nad-a001-01-000000311161292</t>
  </si>
  <si>
    <t>nad-a001-01-000000311161293</t>
  </si>
  <si>
    <t>nad-a001-01-000000311161383</t>
  </si>
  <si>
    <t>nad-a001-01-000000311161387</t>
  </si>
  <si>
    <t>nad-a001-01-000000311161396</t>
  </si>
  <si>
    <t>nad-a001-01-000000311161397</t>
  </si>
  <si>
    <t>nad-a001-01-000000311161399</t>
  </si>
  <si>
    <t>nad-a001-01-000000311161400</t>
  </si>
  <si>
    <t>nad-a001-01-000000311161403</t>
  </si>
  <si>
    <t>nad-a001-01-000000311161404</t>
  </si>
  <si>
    <t>nad-a001-01-000000311161427</t>
  </si>
  <si>
    <t>nad-a001-01-000000311161428</t>
  </si>
  <si>
    <t>nad-a001-01-000000311161429</t>
  </si>
  <si>
    <t>nad-a001-01-000000311161430</t>
  </si>
  <si>
    <t>nad-a001-01-000000311161747</t>
  </si>
  <si>
    <t>nad-a001-01-000000311161757</t>
  </si>
  <si>
    <t>nad-a001-01-000000311161997</t>
  </si>
  <si>
    <t>nad-a001-01-000000311161998</t>
  </si>
  <si>
    <t>비사업자 소재3</t>
    <phoneticPr fontId="2" type="noConversion"/>
  </si>
  <si>
    <t>비사업자 소재4</t>
    <phoneticPr fontId="2" type="noConversion"/>
  </si>
  <si>
    <t>단말기 소재4</t>
    <phoneticPr fontId="2" type="noConversion"/>
  </si>
  <si>
    <t>단말기 소재5</t>
    <phoneticPr fontId="2" type="noConversion"/>
  </si>
  <si>
    <t>교육/서비스 소재3</t>
    <phoneticPr fontId="2" type="noConversion"/>
  </si>
  <si>
    <t>스포츠, 여가 소재3</t>
    <phoneticPr fontId="2" type="noConversion"/>
  </si>
  <si>
    <t>스포츠, 여가 소재4</t>
    <phoneticPr fontId="2" type="noConversion"/>
  </si>
  <si>
    <t>nad-a001-01-000000311161862</t>
  </si>
  <si>
    <t>스포츠, 여가 소재3</t>
  </si>
  <si>
    <t>nad-a001-01-000000311161973</t>
  </si>
  <si>
    <t>주요키워드</t>
  </si>
  <si>
    <t>nad-a001-01-000000314994137</t>
  </si>
  <si>
    <t>nad-a001-01-000000314994131</t>
  </si>
  <si>
    <t>nad-a001-01-000000314994147</t>
  </si>
  <si>
    <t>nad-a001-01-000000314994142</t>
  </si>
  <si>
    <t>단말기 소재6</t>
  </si>
  <si>
    <t>단말기 소재7</t>
  </si>
  <si>
    <t>단말기 소재8</t>
  </si>
  <si>
    <t>단말기 소재9</t>
  </si>
  <si>
    <t>nad-a001-01-000000316984917</t>
  </si>
  <si>
    <t>nad-a001-01-000000316984932</t>
  </si>
  <si>
    <t>단말기_검색</t>
  </si>
  <si>
    <t>단말기_콘텐츠</t>
  </si>
  <si>
    <t>구글_키워드별 주간 데이터 (MO)</t>
    <phoneticPr fontId="3" type="noConversion"/>
  </si>
  <si>
    <t>구글_키워드별 주간 데이터 (PC)</t>
    <phoneticPr fontId="3" type="noConversion"/>
  </si>
  <si>
    <t>총비용(VAT포함,원)</t>
    <phoneticPr fontId="2" type="noConversion"/>
  </si>
  <si>
    <t>nad-a001-01-000000331482923</t>
  </si>
  <si>
    <t>nad-a001-01-000000331482939</t>
  </si>
  <si>
    <t>nad-a001-01-000000331483097</t>
  </si>
  <si>
    <t>nad-a001-01-000000331482976</t>
  </si>
  <si>
    <t>nad-a001-01-000000331482479</t>
  </si>
  <si>
    <t>nad-a001-01-000000331483247</t>
  </si>
  <si>
    <t>nad-a001-01-000000331483108</t>
  </si>
  <si>
    <t>nad-a001-01-000000331482497</t>
  </si>
  <si>
    <t>nad-a001-01-000000331482577</t>
  </si>
  <si>
    <t>nad-a001-01-000000331481128</t>
  </si>
  <si>
    <t>nad-a001-01-000000331483057</t>
  </si>
  <si>
    <t>nad-a001-01-000000331483035</t>
  </si>
  <si>
    <t>nad-a001-01-000000331482576</t>
  </si>
  <si>
    <t>nad-a001-01-000000331481459</t>
  </si>
  <si>
    <t>nad-a001-01-000000331482028</t>
  </si>
  <si>
    <t>nad-a001-01-000000331481623</t>
  </si>
  <si>
    <t>nad-a001-01-000000331482087</t>
  </si>
  <si>
    <t>nad-a001-01-000000331481150</t>
  </si>
  <si>
    <t>nad-a001-01-000000331481263</t>
  </si>
  <si>
    <t>nad-a001-01-000000331481265</t>
  </si>
  <si>
    <t>nad-a001-01-000000331481486</t>
  </si>
  <si>
    <t>nad-a001-01-000000331481622</t>
  </si>
  <si>
    <t>nad-a001-01-000000331481683</t>
  </si>
  <si>
    <t>nad-a001-01-000000331481714</t>
  </si>
  <si>
    <t>nad-a001-01-000000331481812</t>
  </si>
  <si>
    <t>nad-a001-01-000000331481871</t>
  </si>
  <si>
    <t>nad-a001-01-000000331481952</t>
  </si>
  <si>
    <t>nad-a001-01-000000331482008</t>
  </si>
  <si>
    <t>nad-a001-01-000000331482088</t>
  </si>
  <si>
    <t>nad-a001-01-000000331482176</t>
  </si>
  <si>
    <t>nad-a001-01-000000331482272</t>
  </si>
  <si>
    <t>nad-a001-01-000000331482348</t>
  </si>
  <si>
    <t>nad-a001-01-000000331482377</t>
  </si>
  <si>
    <t>nad-a001-01-000000331482436</t>
  </si>
  <si>
    <t>nad-a001-01-000000331482437</t>
  </si>
  <si>
    <t>단말기 소재4</t>
  </si>
  <si>
    <t>단말기 소재4-1</t>
  </si>
  <si>
    <t>단말기 소재6-1</t>
  </si>
  <si>
    <t>교육/서비스 소재2-2</t>
  </si>
  <si>
    <t>도매/숙박 소재2-2</t>
  </si>
  <si>
    <t>요식업 소재2-2</t>
  </si>
  <si>
    <t>요식업 소재1-2</t>
  </si>
  <si>
    <t>교육/서비스 소재3-1</t>
  </si>
  <si>
    <t>도매/숙박 소재1-2</t>
  </si>
  <si>
    <t>병원 소재2-2</t>
  </si>
  <si>
    <t>스포츠, 여가 소재3-1</t>
  </si>
  <si>
    <t>운동 소재1-2</t>
  </si>
  <si>
    <t>차량 소재1-1</t>
  </si>
  <si>
    <t>nad-a001-01-000000331481811</t>
  </si>
  <si>
    <t>nad-a001-01-000000331481888</t>
  </si>
  <si>
    <t>nad-a001-01-000000331481951</t>
  </si>
  <si>
    <t>nad-a001-01-000000331482153</t>
  </si>
  <si>
    <t>스포츠, 여가 소재4</t>
  </si>
  <si>
    <t>nad-a001-01-000000331482271</t>
  </si>
  <si>
    <t>nad-a001-01-000000342116260</t>
    <phoneticPr fontId="2" type="noConversion"/>
  </si>
  <si>
    <t>nad-a001-01-000000342121111</t>
    <phoneticPr fontId="2" type="noConversion"/>
  </si>
  <si>
    <t>nad-a001-01-000000342120946</t>
    <phoneticPr fontId="2" type="noConversion"/>
  </si>
  <si>
    <t>nad-a001-01-000000342120713</t>
    <phoneticPr fontId="2" type="noConversion"/>
  </si>
  <si>
    <t>단말기 소재7</t>
    <phoneticPr fontId="2" type="noConversion"/>
  </si>
  <si>
    <t>nad-a001-01-000000342122390</t>
    <phoneticPr fontId="2" type="noConversion"/>
  </si>
  <si>
    <t>nad-a001-01-000000342122569</t>
    <phoneticPr fontId="2" type="noConversion"/>
  </si>
  <si>
    <t>카드단말기대여</t>
  </si>
  <si>
    <t>카드단말기구입</t>
  </si>
  <si>
    <t>업종키워드</t>
  </si>
  <si>
    <t>가게카드단말기</t>
  </si>
  <si>
    <t>매장카드단말기</t>
  </si>
  <si>
    <t>nad-a001-01-000000374148008</t>
  </si>
  <si>
    <t>nad-a001-01-000000374120866</t>
  </si>
  <si>
    <t>nad-a001-01-000000374120870</t>
  </si>
  <si>
    <t>nad-a001-01-000000374150087</t>
  </si>
  <si>
    <t>nad-a001-01-000000374120854</t>
  </si>
  <si>
    <t>nad-a001-01-000000374120874</t>
  </si>
  <si>
    <t>nad-a001-01-000000374120857</t>
  </si>
  <si>
    <t>nad-a001-01-000000374149790</t>
  </si>
  <si>
    <t>nad-a001-01-000000374147624</t>
  </si>
  <si>
    <t>nad-a001-01-000000374120878</t>
  </si>
  <si>
    <t>nad-a001-01-000000374120864</t>
  </si>
  <si>
    <t>nad-a001-01-000000374145328</t>
  </si>
  <si>
    <t>nad-a001-01-000000374146201</t>
  </si>
  <si>
    <t>nad-a001-01-000000374146965</t>
  </si>
  <si>
    <t>nad-a001-01-000000374120875</t>
  </si>
  <si>
    <t>nad-a001-01-000000374150300</t>
  </si>
  <si>
    <t>nad-a001-01-000000374120858</t>
  </si>
  <si>
    <t>nad-a001-01-000000374120861</t>
  </si>
  <si>
    <t>nad-a001-01-000000374120868</t>
  </si>
  <si>
    <t>nad-a001-01-000000374120879</t>
  </si>
  <si>
    <t>nad-a001-01-000000374120881</t>
  </si>
  <si>
    <t>nad-a001-01-000000374120883</t>
  </si>
  <si>
    <t>nad-a001-01-000000374120886</t>
  </si>
  <si>
    <t>nad-a001-01-000000374120887</t>
  </si>
  <si>
    <t>nad-a001-01-000000374120889</t>
  </si>
  <si>
    <t>nad-a001-01-000000374120891</t>
  </si>
  <si>
    <t>nad-a001-01-000000374120893</t>
  </si>
  <si>
    <t>nad-a001-01-000000374120897</t>
  </si>
  <si>
    <t>nad-a001-01-000000374120899</t>
  </si>
  <si>
    <t>nad-a001-01-000000374120901</t>
  </si>
  <si>
    <t>nad-a001-01-000000374120903</t>
  </si>
  <si>
    <t>nad-a001-01-000000374120907</t>
  </si>
  <si>
    <t>nad-a001-01-000000374120909</t>
  </si>
  <si>
    <t>nad-a001-01-000000374120911</t>
  </si>
  <si>
    <t>nad-a001-01-000000374120913</t>
  </si>
  <si>
    <t>nad-a001-01-000000374120915</t>
  </si>
  <si>
    <t>nad-a001-01-000000374120918</t>
  </si>
  <si>
    <t>nad-a001-01-000000374120922</t>
  </si>
  <si>
    <t>nad-a001-01-000000374120924</t>
  </si>
  <si>
    <t>nad-a001-01-000000374125278</t>
  </si>
  <si>
    <t>nad-a001-01-000000374125290</t>
  </si>
  <si>
    <t>nad-a001-01-000000374125315</t>
  </si>
  <si>
    <t>nad-a001-01-000000374146661</t>
  </si>
  <si>
    <t>nad-a001-01-000000374149600</t>
  </si>
  <si>
    <t>카드단말기임대</t>
  </si>
  <si>
    <t>nad-a001-01-000000374120905</t>
    <phoneticPr fontId="2" type="noConversion"/>
  </si>
  <si>
    <t>요식 소재1</t>
    <phoneticPr fontId="2" type="noConversion"/>
  </si>
  <si>
    <t>요식 소재2</t>
    <phoneticPr fontId="2" type="noConversion"/>
  </si>
  <si>
    <t>$단말기MO (주간)</t>
  </si>
  <si>
    <t>$단말기 MO</t>
  </si>
  <si>
    <t>$단말기MO (야간)</t>
  </si>
  <si>
    <t>$비사업자MO (주간)</t>
  </si>
  <si>
    <t>$비사업자MO (야간)</t>
  </si>
  <si>
    <t>$단말기PC (주간)</t>
  </si>
  <si>
    <t>$*요식업종 MO</t>
  </si>
  <si>
    <t>$단말기PC (야간)</t>
  </si>
  <si>
    <t>$단말기 PC</t>
  </si>
  <si>
    <t>$비사업자PC (주간)</t>
  </si>
  <si>
    <t>$비사업자PC (야간)</t>
  </si>
  <si>
    <t>$단말기(주간)_다음</t>
  </si>
  <si>
    <t>$*병원업종 PC</t>
  </si>
  <si>
    <t>$*도매/숙박업종 MO</t>
  </si>
  <si>
    <t>$*병원업종 MO</t>
  </si>
  <si>
    <t>$*스포츠 및 여가 MO</t>
  </si>
  <si>
    <t>$*차량업종 MO</t>
  </si>
  <si>
    <t>$*교육/서비스업종 MO</t>
  </si>
  <si>
    <t>$*도매/숙박업종 PC</t>
  </si>
  <si>
    <t>$*교육/서비스업종 PC</t>
  </si>
  <si>
    <t>$*요식업종 PC</t>
  </si>
  <si>
    <t>nad-a001-01-000000378077395</t>
  </si>
  <si>
    <t>nad-a001-01-000000378077397</t>
  </si>
  <si>
    <t>카카오</t>
    <phoneticPr fontId="2" type="noConversion"/>
  </si>
  <si>
    <t>$페이파란 메인 파워링크(검색지면)</t>
  </si>
  <si>
    <t>$페이파란 서브 파워링크(검색지면)</t>
  </si>
  <si>
    <t>$페이파란 메인 파워링크(검색지면)</t>
    <phoneticPr fontId="2" type="noConversion"/>
  </si>
  <si>
    <t>$페이파란 서브 파워링크(검색지면)</t>
    <phoneticPr fontId="2" type="noConversion"/>
  </si>
  <si>
    <t>nad-a001-01-000000386906944</t>
  </si>
  <si>
    <t>nad-a001-01-000000384665175</t>
  </si>
  <si>
    <t>nad-a001-01-000000384665174</t>
  </si>
  <si>
    <t>nad-a001-01-000000386906936</t>
  </si>
  <si>
    <t>nad-a001-01-000000386906940</t>
  </si>
  <si>
    <t>nad-a001-01-000000384665183</t>
  </si>
  <si>
    <t>nad-a001-01-000000384665184</t>
  </si>
  <si>
    <t>nad-a001-01-000000386906938</t>
  </si>
  <si>
    <t>nad-a001-01-000000386906939</t>
  </si>
  <si>
    <t>nad-a001-01-000000386906941</t>
  </si>
  <si>
    <t>nad-a001-01-000000386906942</t>
  </si>
  <si>
    <t>nad-a001-01-000000386906943</t>
  </si>
  <si>
    <t>nad-a001-01-000000386906945</t>
  </si>
  <si>
    <t>nad-a001-01-000000386910910</t>
  </si>
  <si>
    <t>nad-a001-01-000000386910931</t>
  </si>
  <si>
    <t>요식 소재3</t>
    <phoneticPr fontId="2" type="noConversion"/>
  </si>
  <si>
    <t>nad-a001-01-000000384665171</t>
  </si>
  <si>
    <t>nad-a001-01-000000384665172</t>
  </si>
  <si>
    <t>nad-a001-01-000000384665178</t>
  </si>
  <si>
    <t>nad-a001-01-000000384665180</t>
  </si>
  <si>
    <t>nad-a001-01-000000386911013</t>
  </si>
  <si>
    <t>nad-a001-01-000000386911025</t>
  </si>
  <si>
    <t>차량 소재3</t>
    <phoneticPr fontId="2" type="noConversion"/>
  </si>
  <si>
    <t>nad-a001-01-000000386906947</t>
  </si>
  <si>
    <t>신용카드리더기</t>
  </si>
  <si>
    <t>단말기</t>
  </si>
  <si>
    <t>배달카드리더기</t>
  </si>
  <si>
    <t>$즉시MO (주간)</t>
  </si>
  <si>
    <t>$즉시PC (주간)</t>
  </si>
  <si>
    <t>nad-a001-01-000000404040614</t>
  </si>
  <si>
    <t>nad-a001-01-000000404095574</t>
  </si>
  <si>
    <t>nad-a001-01-000000404095784</t>
  </si>
  <si>
    <t>nad-a001-01-000000404095785</t>
  </si>
  <si>
    <t>즉시 소재1</t>
  </si>
  <si>
    <t>즉시 소재1</t>
    <phoneticPr fontId="2" type="noConversion"/>
  </si>
  <si>
    <t>즉시 소재2</t>
    <phoneticPr fontId="2" type="noConversion"/>
  </si>
  <si>
    <t>휴대용카드리더기</t>
  </si>
  <si>
    <t>$즉시MO (야간)</t>
  </si>
  <si>
    <t>nad-a001-01-000000404095705</t>
  </si>
  <si>
    <t>nad-a001-01-000000404095706</t>
  </si>
  <si>
    <t>nad-a001-01-000000404095790</t>
  </si>
  <si>
    <t>nad-a001-01-000000404095791</t>
  </si>
  <si>
    <t>플리마켓카드단말기</t>
  </si>
  <si>
    <t>무선카드결제기</t>
  </si>
  <si>
    <t>행사장카드단말기</t>
  </si>
  <si>
    <t>$*차량업종 PC</t>
  </si>
  <si>
    <t xml:space="preserve"> </t>
    <phoneticPr fontId="2" type="noConversion"/>
  </si>
  <si>
    <t>nad-a001-01-000000419832465</t>
  </si>
  <si>
    <t>nad-a001-01-000000419812527</t>
  </si>
  <si>
    <t>nad-a001-01-000000419820895</t>
  </si>
  <si>
    <t>nad-a001-01-000000419832431</t>
  </si>
  <si>
    <t>nad-a001-01-000000419815565</t>
  </si>
  <si>
    <t>nad-a001-01-000000419816693</t>
  </si>
  <si>
    <t>nad-a001-01-000000419811478</t>
  </si>
  <si>
    <t>nad-a001-01-000000419821009</t>
  </si>
  <si>
    <t>nad-a001-01-000000419820973</t>
  </si>
  <si>
    <t>nad-a001-01-000000419812547</t>
  </si>
  <si>
    <t>nad-a001-01-000000419812613</t>
  </si>
  <si>
    <t>nad-a001-01-000000419815517</t>
  </si>
  <si>
    <t>nad-a001-01-000000419815616</t>
  </si>
  <si>
    <t>nad-a001-01-000000419820849</t>
  </si>
  <si>
    <t>nad-a001-01-000000419820861</t>
  </si>
  <si>
    <t>nad-a001-01-000000419821295</t>
  </si>
  <si>
    <t>nad-a001-01-000000419821350</t>
  </si>
  <si>
    <t>nad-a001-01-000000419832449</t>
  </si>
  <si>
    <t>nad-a001-01-000000419832513</t>
  </si>
  <si>
    <t>nad-a001-01-000000419832521</t>
  </si>
  <si>
    <t>단말기 소재3</t>
  </si>
  <si>
    <t>단말기 소재3-1</t>
  </si>
  <si>
    <t>단말기 소재3-1</t>
    <phoneticPr fontId="2" type="noConversion"/>
  </si>
  <si>
    <t>비사업자 소재5</t>
    <phoneticPr fontId="2" type="noConversion"/>
  </si>
  <si>
    <t>비사업자 소재6</t>
    <phoneticPr fontId="2" type="noConversion"/>
  </si>
  <si>
    <t>매장카드결제기</t>
  </si>
  <si>
    <t>$*스포츠 및 여가 PC</t>
  </si>
  <si>
    <t>11월 1주차 (1~5일)</t>
    <phoneticPr fontId="2" type="noConversion"/>
  </si>
  <si>
    <t>11월 2주차 (6~12일)</t>
    <phoneticPr fontId="2" type="noConversion"/>
  </si>
  <si>
    <t>11월 3주차 (13~19일)</t>
    <phoneticPr fontId="2" type="noConversion"/>
  </si>
  <si>
    <t>11월 4주차 (20~26일)</t>
    <phoneticPr fontId="2" type="noConversion"/>
  </si>
  <si>
    <t>11월 5주차 (27~30일)</t>
    <phoneticPr fontId="2" type="noConversion"/>
  </si>
  <si>
    <t>카드단말기교체</t>
  </si>
  <si>
    <t>식당카드리더기</t>
  </si>
  <si>
    <t>공부방카드단말기</t>
  </si>
  <si>
    <t>피시방카드단말기</t>
  </si>
  <si>
    <r>
      <rPr>
        <b/>
        <sz val="11"/>
        <color theme="1"/>
        <rFont val="맑은 고딕"/>
        <family val="3"/>
        <charset val="129"/>
        <scheme val="major"/>
      </rPr>
      <t xml:space="preserve">11월 3주차
CTR 2.99% / CPC 1,531원 / 전환 4건 발생
</t>
    </r>
    <r>
      <rPr>
        <sz val="11"/>
        <color theme="1"/>
        <rFont val="맑은 고딕"/>
        <family val="3"/>
        <charset val="129"/>
        <scheme val="major"/>
      </rPr>
      <t xml:space="preserve"> ㄴ CTR 2.99%로 11월 가장 높은 수치 기록했으나 전주 대비 노출 및 클릭 수 모두 감소
 ㄴ 전주 대비 클릭 수 약 12.1% 감소했음에도 불구하고 전환 수 1건 &gt; 4건으로 3건 증가
 ㄴ '카드단말기', '신용카드단말기' 두 키워드에서 전환 각 2건씩 발생
 ㄴ 11월 30일까지 운영 후 종료 예정</t>
    </r>
    <phoneticPr fontId="2" type="noConversion"/>
  </si>
  <si>
    <t>nad-a001-01-000000374120905</t>
  </si>
  <si>
    <t>카드체크기</t>
  </si>
  <si>
    <t>카드단말기신청</t>
  </si>
  <si>
    <t>이동식카드단말기</t>
  </si>
  <si>
    <t>구분
(1/1~1/31)</t>
    <phoneticPr fontId="2" type="noConversion"/>
  </si>
  <si>
    <t>2026.01.01.</t>
    <phoneticPr fontId="2" type="noConversion"/>
  </si>
  <si>
    <t>2026.01.02.</t>
  </si>
  <si>
    <t>2026.01.03.</t>
  </si>
  <si>
    <t>2026.01.04.</t>
  </si>
  <si>
    <t>2026.01.05.</t>
  </si>
  <si>
    <t>2026.01.06.</t>
  </si>
  <si>
    <t>2026.01.07.</t>
  </si>
  <si>
    <t>2026.01.08.</t>
  </si>
  <si>
    <t>2026.01.09.</t>
  </si>
  <si>
    <t>2026.01.10.</t>
  </si>
  <si>
    <t>2026.01.11.</t>
  </si>
  <si>
    <t>2026.01.12.</t>
  </si>
  <si>
    <t>2026.01.13.</t>
  </si>
  <si>
    <t>2026.01.14.</t>
  </si>
  <si>
    <t>2026.01.15.</t>
  </si>
  <si>
    <t>2026.01.16.</t>
  </si>
  <si>
    <t>2026.01.17.</t>
  </si>
  <si>
    <t>2026.01.18.</t>
  </si>
  <si>
    <t>2026.01.19.</t>
  </si>
  <si>
    <t>2026.01.20.</t>
  </si>
  <si>
    <t>2026.01.21.</t>
  </si>
  <si>
    <t>2026.01.22.</t>
  </si>
  <si>
    <t>2026.01.23.</t>
  </si>
  <si>
    <t>2026.01.24.</t>
  </si>
  <si>
    <t>2026.01.25.</t>
  </si>
  <si>
    <t>2026.01.26.</t>
  </si>
  <si>
    <t>2026.01.27.</t>
  </si>
  <si>
    <t>2026.01.28.</t>
  </si>
  <si>
    <t>2026.01.29.</t>
  </si>
  <si>
    <t>2026.01.30.</t>
  </si>
  <si>
    <t>2026.01.31.</t>
  </si>
  <si>
    <t>2026.01.01.</t>
  </si>
  <si>
    <t>1월 1주차 (1~2일)</t>
    <phoneticPr fontId="2" type="noConversion"/>
  </si>
  <si>
    <t>1월 1주차 (3~4일)</t>
    <phoneticPr fontId="2" type="noConversion"/>
  </si>
  <si>
    <t>1월 1주차 (1~4일)</t>
    <phoneticPr fontId="2" type="noConversion"/>
  </si>
  <si>
    <t>파워링크_키워드별 주간 데이터 (평일)</t>
    <phoneticPr fontId="3" type="noConversion"/>
  </si>
  <si>
    <t>2026.02.01.</t>
  </si>
  <si>
    <r>
      <t xml:space="preserve">▶ 주차별 </t>
    </r>
    <r>
      <rPr>
        <b/>
        <sz val="10"/>
        <color rgb="FFC00000"/>
        <rFont val="맑은 고딕"/>
        <family val="3"/>
        <charset val="129"/>
        <scheme val="major"/>
      </rPr>
      <t>평일</t>
    </r>
    <r>
      <rPr>
        <b/>
        <sz val="10"/>
        <color theme="1"/>
        <rFont val="맑은 고딕"/>
        <family val="3"/>
        <charset val="129"/>
        <scheme val="major"/>
      </rPr>
      <t xml:space="preserve"> 성과</t>
    </r>
    <phoneticPr fontId="2" type="noConversion"/>
  </si>
  <si>
    <r>
      <t xml:space="preserve">▶ 주차별 </t>
    </r>
    <r>
      <rPr>
        <b/>
        <sz val="10"/>
        <color rgb="FFC00000"/>
        <rFont val="맑은 고딕"/>
        <family val="3"/>
        <charset val="129"/>
        <scheme val="major"/>
      </rPr>
      <t>주말</t>
    </r>
    <r>
      <rPr>
        <b/>
        <sz val="10"/>
        <color theme="1"/>
        <rFont val="맑은 고딕"/>
        <family val="3"/>
        <charset val="129"/>
        <scheme val="major"/>
      </rPr>
      <t xml:space="preserve"> 성과</t>
    </r>
    <phoneticPr fontId="2" type="noConversion"/>
  </si>
  <si>
    <r>
      <t xml:space="preserve">▶ 주차별 </t>
    </r>
    <r>
      <rPr>
        <b/>
        <sz val="10"/>
        <color rgb="FFC00000"/>
        <rFont val="맑은 고딕"/>
        <family val="3"/>
        <charset val="129"/>
        <scheme val="major"/>
      </rPr>
      <t>Total</t>
    </r>
    <r>
      <rPr>
        <b/>
        <sz val="10"/>
        <color theme="1"/>
        <rFont val="맑은 고딕"/>
        <family val="3"/>
        <charset val="129"/>
        <scheme val="major"/>
      </rPr>
      <t xml:space="preserve"> 성과</t>
    </r>
    <phoneticPr fontId="2" type="noConversion"/>
  </si>
  <si>
    <t>2026.02.03.</t>
  </si>
  <si>
    <t>2026.02.04.</t>
  </si>
  <si>
    <t>2026.02.05.</t>
  </si>
  <si>
    <t>2026.02.06.</t>
  </si>
  <si>
    <t>2026.02.02.</t>
  </si>
  <si>
    <t>2026.02.08.</t>
  </si>
  <si>
    <t>2026.02.07.</t>
  </si>
  <si>
    <t>블루투스카드단말기</t>
  </si>
  <si>
    <t>2/9 ~ 2/15</t>
    <phoneticPr fontId="2" type="noConversion"/>
  </si>
  <si>
    <t>2/16 ~ 2/22</t>
    <phoneticPr fontId="2" type="noConversion"/>
  </si>
  <si>
    <t>2/9 ~ 2/13</t>
    <phoneticPr fontId="2" type="noConversion"/>
  </si>
  <si>
    <t>2/14 ~ 2/15</t>
    <phoneticPr fontId="2" type="noConversion"/>
  </si>
  <si>
    <t>2/21 ~ 2/22</t>
    <phoneticPr fontId="2" type="noConversion"/>
  </si>
  <si>
    <t>2026.02.09.</t>
    <phoneticPr fontId="2" type="noConversion"/>
  </si>
  <si>
    <t>2026.02.10.</t>
  </si>
  <si>
    <t>2026.02.11.</t>
  </si>
  <si>
    <t>2026.02.12.</t>
  </si>
  <si>
    <t>2026.02.13.</t>
  </si>
  <si>
    <t>2026.02.14.</t>
    <phoneticPr fontId="2" type="noConversion"/>
  </si>
  <si>
    <t>2026.02.15.</t>
    <phoneticPr fontId="2" type="noConversion"/>
  </si>
  <si>
    <t>2026.02.16.</t>
  </si>
  <si>
    <t>2026.02.17.</t>
  </si>
  <si>
    <t>2026.02.18.</t>
  </si>
  <si>
    <t>2026.02.19.</t>
  </si>
  <si>
    <t>2026.02.20.</t>
  </si>
  <si>
    <t>2026.02.21.</t>
    <phoneticPr fontId="2" type="noConversion"/>
  </si>
  <si>
    <t>2026.02.22.</t>
    <phoneticPr fontId="2" type="noConversion"/>
  </si>
  <si>
    <t>2026.02.09.</t>
  </si>
  <si>
    <t>2026.02.14.</t>
  </si>
  <si>
    <t>2026.02.15.</t>
  </si>
  <si>
    <t>2026.02.21.</t>
  </si>
  <si>
    <t>2026.02.22.</t>
  </si>
  <si>
    <t>카드단말기매장용</t>
  </si>
  <si>
    <t>2026.02.23.</t>
    <phoneticPr fontId="2" type="noConversion"/>
  </si>
  <si>
    <t>2026.02.24.</t>
  </si>
  <si>
    <t>2026.02.25.</t>
  </si>
  <si>
    <t>2026.02.26.</t>
  </si>
  <si>
    <t>2026.02.27.</t>
  </si>
  <si>
    <t>2026.02.28.</t>
  </si>
  <si>
    <t>2/23 ~ 3/1</t>
    <phoneticPr fontId="2" type="noConversion"/>
  </si>
  <si>
    <t>2/23 ~ 2/27</t>
    <phoneticPr fontId="2" type="noConversion"/>
  </si>
  <si>
    <t>2/28 ~ 3/1</t>
    <phoneticPr fontId="2" type="noConversion"/>
  </si>
  <si>
    <t>2026.03.01.</t>
  </si>
  <si>
    <t>2026.03.01.</t>
    <phoneticPr fontId="2" type="noConversion"/>
  </si>
  <si>
    <t>2026.02.23.</t>
  </si>
  <si>
    <t>카드기대여</t>
  </si>
  <si>
    <t>카드결제기기</t>
  </si>
  <si>
    <t>즉시결제</t>
  </si>
  <si>
    <t>식당카드단말기</t>
  </si>
  <si>
    <t>2026.03.02.</t>
  </si>
  <si>
    <t>2026.03.03.</t>
  </si>
  <si>
    <t>2026.03.04.</t>
  </si>
  <si>
    <t>2026.03.05.</t>
  </si>
  <si>
    <t>2026.03.06.</t>
  </si>
  <si>
    <t>2026.03.07.</t>
  </si>
  <si>
    <t>2026.03.08.</t>
  </si>
  <si>
    <t>* 기간 : 2026.03.02~2026.03.08</t>
    <phoneticPr fontId="2" type="noConversion"/>
  </si>
  <si>
    <t>* 기간 : 2026.03.07~2026.03.08</t>
    <phoneticPr fontId="2" type="noConversion"/>
  </si>
  <si>
    <t>* 기간 : 2026.03.02~2026.03.06</t>
    <phoneticPr fontId="2" type="noConversion"/>
  </si>
  <si>
    <t>3/2 ~ 3/8</t>
    <phoneticPr fontId="2" type="noConversion"/>
  </si>
  <si>
    <t>3/2 ~ 3/6</t>
    <phoneticPr fontId="2" type="noConversion"/>
  </si>
  <si>
    <t>3/7 ~ 3/8</t>
    <phoneticPr fontId="2" type="noConversion"/>
  </si>
  <si>
    <t>2026.03.02.</t>
    <phoneticPr fontId="2" type="noConversion"/>
  </si>
  <si>
    <t>2026.03.07.</t>
    <phoneticPr fontId="2" type="noConversion"/>
  </si>
  <si>
    <t>2026.03.08.</t>
    <phoneticPr fontId="2" type="noConversion"/>
  </si>
  <si>
    <t>카드단말기신청방법</t>
  </si>
  <si>
    <t>신용카드기</t>
  </si>
  <si>
    <t>배달카드단말기</t>
  </si>
  <si>
    <t>꽃집카드단말기</t>
  </si>
  <si>
    <t>주유소휴대용카드단말기</t>
  </si>
  <si>
    <t>주차장카드결제기</t>
  </si>
  <si>
    <t>유심무선카드단말기</t>
  </si>
  <si>
    <t>PG단말기광고</t>
  </si>
  <si>
    <t>무선단말기7352</t>
  </si>
  <si>
    <t>신용불량자카드단말기</t>
  </si>
  <si>
    <t>단말기PG사VAN사차이</t>
  </si>
  <si>
    <t>노점카드단말기</t>
  </si>
  <si>
    <t>노래방카드단말기</t>
  </si>
  <si>
    <t>병원PG단말기</t>
  </si>
  <si>
    <t>꽃집단말기</t>
  </si>
  <si>
    <r>
      <rPr>
        <b/>
        <sz val="11"/>
        <color theme="1"/>
        <rFont val="맑은 고딕"/>
        <family val="3"/>
        <charset val="129"/>
        <scheme val="major"/>
      </rPr>
      <t xml:space="preserve">3월 1주차 데이터
CTR 3.44% / CPC 6,047원 / 전환 수 29건 / 전환율 23.58%
</t>
    </r>
    <r>
      <rPr>
        <sz val="11"/>
        <color theme="1"/>
        <rFont val="맑은 고딕"/>
        <family val="3"/>
        <charset val="129"/>
        <scheme val="major"/>
      </rPr>
      <t xml:space="preserve"> ㄴ 지난 2월 3주차 클릭 수 77건까지 감소, CTR 2.32% 하락하며 저조한 유입 성과 기록했으나, 이번 3월 1주차 클릭 수 123건, CTR 3.44% 기록하며 성과 회복
 ㄴ 평일, 주말 모두 클릭 및 전환 모두 증가했으며 특히 평일에 CTR 2.48% &gt; 3.58%, CVR 18.09% &gt; 24.55% 큰 폭 상승하며 고성과 기록
 ㄴ '무선카드단말기' 키워드에서 가장 많은 전환 발생했으며 그 외 '카드단말기대여', '카드단말기신청', '카드단말기교체', '카드단말기구입' 등 '카드단말기+OO' 조합 키워드에서 전환 발생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</si>
</sst>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%"/>
    <numFmt numFmtId="177" formatCode="m&quot;월&quot;\ d&quot;일&quot;;@"/>
    <numFmt numFmtId="178" formatCode="_-* #,##0.0_-;\-* #,##0.0_-;_-* &quot;-&quot;?_-;_-@_-"/>
    <numFmt numFmtId="179" formatCode="[Red]&quot;▲&quot;#,##0.0%;[Blue]&quot;▼&quot;##,##0.0%;[Black]&quot;〓&quot;"/>
    <numFmt numFmtId="180" formatCode="_-* #,##0.00_-;\-* #,##0.00_-;_-* &quot;-&quot;_-;_-@_-"/>
    <numFmt numFmtId="181" formatCode="mm/dd\(aaa\)"/>
    <numFmt numFmtId="182" formatCode="0.0"/>
    <numFmt numFmtId="183" formatCode="yyyy/mm/dd;@"/>
  </numFmts>
  <fonts count="5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나눔고딕"/>
      <family val="3"/>
      <charset val="129"/>
    </font>
    <font>
      <b/>
      <sz val="10"/>
      <color rgb="FFC00000"/>
      <name val="나눔고딕"/>
      <family val="3"/>
      <charset val="129"/>
    </font>
    <font>
      <sz val="11"/>
      <color indexed="8"/>
      <name val="맑은 고딕"/>
      <family val="2"/>
      <scheme val="minor"/>
    </font>
    <font>
      <sz val="9"/>
      <color theme="1"/>
      <name val="나눔고딕"/>
      <family val="3"/>
      <charset val="129"/>
    </font>
    <font>
      <sz val="9"/>
      <name val="나눔고딕"/>
      <family val="3"/>
      <charset val="129"/>
    </font>
    <font>
      <sz val="11"/>
      <color rgb="FF000000"/>
      <name val="Calibri"/>
      <family val="2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  <scheme val="major"/>
    </font>
    <font>
      <b/>
      <sz val="10"/>
      <color theme="0" tint="-4.9989318521683403E-2"/>
      <name val="맑은 고딕"/>
      <family val="3"/>
      <charset val="129"/>
      <scheme val="major"/>
    </font>
    <font>
      <sz val="10"/>
      <color theme="0" tint="-4.9989318521683403E-2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9"/>
      <color rgb="FFC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8"/>
      <color theme="1"/>
      <name val="나눔고딕"/>
      <family val="3"/>
      <charset val="129"/>
    </font>
    <font>
      <sz val="10"/>
      <color rgb="FF4D4D4D"/>
      <name val="나눔고딕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C00000"/>
      <name val="맑은 고딕"/>
      <family val="3"/>
      <charset val="129"/>
      <scheme val="major"/>
    </font>
    <font>
      <b/>
      <sz val="20"/>
      <color theme="1" tint="0.249977111117893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0"/>
      <color rgb="FF2D4C8B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20"/>
      <color theme="1" tint="0.249977111117893"/>
      <name val="맑은 고딕"/>
      <family val="3"/>
      <charset val="129"/>
      <scheme val="major"/>
    </font>
    <font>
      <b/>
      <sz val="9"/>
      <color rgb="FFC0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b/>
      <sz val="9"/>
      <color theme="1" tint="0.249977111117893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16"/>
      <color theme="1"/>
      <name val="맑은 고딕"/>
      <family val="3"/>
      <charset val="129"/>
      <scheme val="major"/>
    </font>
    <font>
      <b/>
      <sz val="9"/>
      <color rgb="FFEA1542"/>
      <name val="맑은 고딕"/>
      <family val="3"/>
      <charset val="129"/>
      <scheme val="major"/>
    </font>
    <font>
      <sz val="9"/>
      <color rgb="FF2D4C8B"/>
      <name val="맑은 고딕"/>
      <family val="3"/>
      <charset val="129"/>
      <scheme val="major"/>
    </font>
    <font>
      <i/>
      <sz val="11"/>
      <color rgb="FF7F7F7F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ajor"/>
    </font>
    <font>
      <sz val="9"/>
      <color rgb="FF0070C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  <font>
      <sz val="9"/>
      <color rgb="FF0000FF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  <scheme val="major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51"/>
      </patternFill>
    </fill>
    <fill>
      <patternFill patternType="solid">
        <fgColor theme="4" tint="-0.499984740745262"/>
        <bgColor indexed="51"/>
      </patternFill>
    </fill>
    <fill>
      <patternFill patternType="solid">
        <fgColor theme="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2F2F2"/>
      </patternFill>
    </fill>
  </fills>
  <borders count="4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679555650502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249977111117893"/>
      </left>
      <right/>
      <top style="thin">
        <color theme="0" tint="-0.499984740745262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9" fillId="0" borderId="0" applyBorder="0"/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49" fillId="0" borderId="0" applyNumberForma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176" fontId="17" fillId="5" borderId="1" xfId="2" applyNumberFormat="1" applyFont="1" applyFill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1" fontId="14" fillId="6" borderId="1" xfId="1" applyFont="1" applyFill="1" applyBorder="1" applyAlignment="1">
      <alignment horizontal="center" vertical="center"/>
    </xf>
    <xf numFmtId="10" fontId="14" fillId="6" borderId="1" xfId="2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1" fontId="19" fillId="6" borderId="1" xfId="1" applyFont="1" applyFill="1" applyBorder="1" applyAlignment="1">
      <alignment horizontal="center" vertical="center"/>
    </xf>
    <xf numFmtId="10" fontId="19" fillId="6" borderId="1" xfId="2" applyNumberFormat="1" applyFont="1" applyFill="1" applyBorder="1" applyAlignment="1">
      <alignment horizontal="center" vertical="center"/>
    </xf>
    <xf numFmtId="41" fontId="13" fillId="0" borderId="1" xfId="1" applyFont="1" applyFill="1" applyBorder="1" applyAlignment="1">
      <alignment horizontal="center" vertical="center"/>
    </xf>
    <xf numFmtId="10" fontId="13" fillId="0" borderId="1" xfId="2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1" fontId="10" fillId="0" borderId="0" xfId="1" applyFont="1" applyAlignment="1">
      <alignment horizontal="center" vertical="center"/>
    </xf>
    <xf numFmtId="9" fontId="10" fillId="0" borderId="0" xfId="2" applyFont="1" applyBorder="1" applyAlignment="1">
      <alignment horizontal="center" vertical="center"/>
    </xf>
    <xf numFmtId="41" fontId="10" fillId="0" borderId="5" xfId="1" applyFont="1" applyBorder="1" applyAlignment="1">
      <alignment horizontal="right" vertical="center"/>
    </xf>
    <xf numFmtId="41" fontId="10" fillId="0" borderId="1" xfId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41" fontId="13" fillId="0" borderId="0" xfId="0" applyNumberFormat="1" applyFont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41" fontId="10" fillId="0" borderId="1" xfId="1" applyFont="1" applyFill="1" applyBorder="1" applyAlignment="1">
      <alignment horizontal="right" vertical="center"/>
    </xf>
    <xf numFmtId="0" fontId="17" fillId="5" borderId="1" xfId="0" applyFont="1" applyFill="1" applyBorder="1" applyAlignment="1">
      <alignment horizontal="center" vertical="center" shrinkToFit="1"/>
    </xf>
    <xf numFmtId="179" fontId="11" fillId="2" borderId="1" xfId="2" applyNumberFormat="1" applyFont="1" applyFill="1" applyBorder="1" applyAlignment="1">
      <alignment horizontal="center" vertical="center"/>
    </xf>
    <xf numFmtId="0" fontId="21" fillId="0" borderId="0" xfId="14">
      <alignment vertical="center"/>
    </xf>
    <xf numFmtId="0" fontId="22" fillId="0" borderId="11" xfId="0" applyFont="1" applyBorder="1">
      <alignment vertical="center"/>
    </xf>
    <xf numFmtId="3" fontId="23" fillId="0" borderId="0" xfId="0" applyNumberFormat="1" applyFont="1">
      <alignment vertical="center"/>
    </xf>
    <xf numFmtId="0" fontId="26" fillId="0" borderId="0" xfId="0" applyFont="1">
      <alignment vertical="center"/>
    </xf>
    <xf numFmtId="0" fontId="26" fillId="0" borderId="0" xfId="14" applyFont="1" applyAlignment="1">
      <alignment vertical="center" wrapText="1"/>
    </xf>
    <xf numFmtId="41" fontId="4" fillId="0" borderId="0" xfId="1" applyFont="1" applyFill="1" applyBorder="1" applyAlignment="1">
      <alignment horizontal="center" vertical="center"/>
    </xf>
    <xf numFmtId="0" fontId="7" fillId="0" borderId="0" xfId="1" applyNumberFormat="1" applyFont="1" applyFill="1" applyBorder="1">
      <alignment vertical="center"/>
    </xf>
    <xf numFmtId="0" fontId="8" fillId="0" borderId="0" xfId="0" applyFont="1">
      <alignment vertical="center"/>
    </xf>
    <xf numFmtId="14" fontId="10" fillId="0" borderId="1" xfId="0" applyNumberFormat="1" applyFont="1" applyBorder="1" applyAlignment="1">
      <alignment horizontal="center" vertical="center"/>
    </xf>
    <xf numFmtId="3" fontId="7" fillId="0" borderId="0" xfId="1" applyNumberFormat="1" applyFont="1" applyFill="1" applyBorder="1">
      <alignment vertical="center"/>
    </xf>
    <xf numFmtId="0" fontId="29" fillId="0" borderId="0" xfId="0" applyFont="1" applyAlignment="1">
      <alignment vertical="top" wrapText="1"/>
    </xf>
    <xf numFmtId="41" fontId="10" fillId="0" borderId="0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4" fillId="7" borderId="0" xfId="0" applyNumberFormat="1" applyFont="1" applyFill="1" applyAlignment="1">
      <alignment horizontal="center" vertical="center"/>
    </xf>
    <xf numFmtId="0" fontId="4" fillId="7" borderId="0" xfId="1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41" fontId="4" fillId="7" borderId="0" xfId="1" applyFont="1" applyFill="1" applyBorder="1" applyAlignment="1">
      <alignment horizontal="center" vertical="center"/>
    </xf>
    <xf numFmtId="42" fontId="4" fillId="0" borderId="0" xfId="11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31" fillId="0" borderId="0" xfId="0" applyFont="1">
      <alignment vertical="center"/>
    </xf>
    <xf numFmtId="0" fontId="31" fillId="0" borderId="0" xfId="14" applyFont="1">
      <alignment vertical="center"/>
    </xf>
    <xf numFmtId="41" fontId="31" fillId="0" borderId="0" xfId="1" applyFont="1">
      <alignment vertical="center"/>
    </xf>
    <xf numFmtId="0" fontId="31" fillId="0" borderId="8" xfId="0" applyFont="1" applyBorder="1">
      <alignment vertical="center"/>
    </xf>
    <xf numFmtId="0" fontId="31" fillId="0" borderId="9" xfId="0" applyFont="1" applyBorder="1">
      <alignment vertical="center"/>
    </xf>
    <xf numFmtId="41" fontId="31" fillId="0" borderId="9" xfId="1" applyFont="1" applyBorder="1">
      <alignment vertical="center"/>
    </xf>
    <xf numFmtId="0" fontId="31" fillId="0" borderId="10" xfId="0" applyFont="1" applyBorder="1">
      <alignment vertical="center"/>
    </xf>
    <xf numFmtId="0" fontId="31" fillId="0" borderId="11" xfId="0" applyFont="1" applyBorder="1">
      <alignment vertical="center"/>
    </xf>
    <xf numFmtId="0" fontId="33" fillId="0" borderId="0" xfId="0" applyFont="1">
      <alignment vertical="center"/>
    </xf>
    <xf numFmtId="14" fontId="31" fillId="0" borderId="0" xfId="0" applyNumberFormat="1" applyFont="1" applyAlignment="1">
      <alignment horizontal="left" vertical="center"/>
    </xf>
    <xf numFmtId="41" fontId="31" fillId="0" borderId="0" xfId="1" applyFont="1" applyBorder="1">
      <alignment vertical="center"/>
    </xf>
    <xf numFmtId="0" fontId="31" fillId="0" borderId="12" xfId="0" applyFont="1" applyBorder="1">
      <alignment vertical="center"/>
    </xf>
    <xf numFmtId="0" fontId="31" fillId="0" borderId="0" xfId="0" applyFont="1" applyAlignment="1">
      <alignment horizontal="center" vertical="center"/>
    </xf>
    <xf numFmtId="0" fontId="35" fillId="10" borderId="13" xfId="0" applyFont="1" applyFill="1" applyBorder="1" applyAlignment="1">
      <alignment horizontal="center" vertical="center"/>
    </xf>
    <xf numFmtId="41" fontId="35" fillId="10" borderId="13" xfId="1" applyFont="1" applyFill="1" applyBorder="1" applyAlignment="1">
      <alignment horizontal="center" vertical="center"/>
    </xf>
    <xf numFmtId="41" fontId="34" fillId="10" borderId="13" xfId="4" applyFont="1" applyFill="1" applyBorder="1" applyAlignment="1">
      <alignment horizontal="center" vertical="center"/>
    </xf>
    <xf numFmtId="182" fontId="34" fillId="10" borderId="13" xfId="4" applyNumberFormat="1" applyFont="1" applyFill="1" applyBorder="1" applyAlignment="1">
      <alignment horizontal="center" vertical="center"/>
    </xf>
    <xf numFmtId="10" fontId="34" fillId="10" borderId="13" xfId="2" applyNumberFormat="1" applyFont="1" applyFill="1" applyBorder="1" applyAlignment="1">
      <alignment horizontal="center" vertical="center"/>
    </xf>
    <xf numFmtId="0" fontId="36" fillId="8" borderId="13" xfId="4" applyNumberFormat="1" applyFont="1" applyFill="1" applyBorder="1" applyAlignment="1">
      <alignment horizontal="center" vertical="center"/>
    </xf>
    <xf numFmtId="0" fontId="36" fillId="8" borderId="13" xfId="1" applyNumberFormat="1" applyFont="1" applyFill="1" applyBorder="1" applyAlignment="1">
      <alignment horizontal="center" vertical="center"/>
    </xf>
    <xf numFmtId="41" fontId="36" fillId="8" borderId="13" xfId="1" applyFont="1" applyFill="1" applyBorder="1" applyAlignment="1">
      <alignment horizontal="center" vertical="center"/>
    </xf>
    <xf numFmtId="41" fontId="31" fillId="0" borderId="12" xfId="1" applyFont="1" applyBorder="1">
      <alignment vertical="center"/>
    </xf>
    <xf numFmtId="181" fontId="36" fillId="0" borderId="0" xfId="0" applyNumberFormat="1" applyFont="1" applyAlignment="1">
      <alignment horizontal="center" vertical="center"/>
    </xf>
    <xf numFmtId="41" fontId="31" fillId="0" borderId="0" xfId="4" applyFont="1" applyFill="1" applyBorder="1" applyAlignment="1">
      <alignment horizontal="center" vertical="center"/>
    </xf>
    <xf numFmtId="180" fontId="31" fillId="0" borderId="0" xfId="4" applyNumberFormat="1" applyFont="1" applyFill="1" applyBorder="1" applyAlignment="1">
      <alignment horizontal="center" vertical="center"/>
    </xf>
    <xf numFmtId="41" fontId="31" fillId="0" borderId="0" xfId="1" applyFont="1" applyFill="1" applyBorder="1" applyAlignment="1">
      <alignment horizontal="right" vertical="center"/>
    </xf>
    <xf numFmtId="41" fontId="31" fillId="0" borderId="0" xfId="4" applyFont="1" applyFill="1" applyBorder="1" applyAlignment="1">
      <alignment horizontal="right" vertical="center"/>
    </xf>
    <xf numFmtId="178" fontId="31" fillId="0" borderId="12" xfId="0" applyNumberFormat="1" applyFont="1" applyBorder="1">
      <alignment vertical="center"/>
    </xf>
    <xf numFmtId="0" fontId="31" fillId="0" borderId="14" xfId="0" applyFont="1" applyBorder="1">
      <alignment vertical="center"/>
    </xf>
    <xf numFmtId="10" fontId="36" fillId="0" borderId="13" xfId="2" applyNumberFormat="1" applyFont="1" applyFill="1" applyBorder="1" applyAlignment="1">
      <alignment horizontal="center" vertical="center"/>
    </xf>
    <xf numFmtId="41" fontId="36" fillId="0" borderId="13" xfId="4" applyFont="1" applyFill="1" applyBorder="1" applyAlignment="1">
      <alignment horizontal="center" vertical="center"/>
    </xf>
    <xf numFmtId="41" fontId="36" fillId="8" borderId="13" xfId="4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41" fontId="29" fillId="0" borderId="1" xfId="1" applyFont="1" applyFill="1" applyBorder="1" applyAlignment="1">
      <alignment horizontal="center" vertical="center"/>
    </xf>
    <xf numFmtId="0" fontId="39" fillId="0" borderId="0" xfId="14" applyFont="1">
      <alignment vertical="center"/>
    </xf>
    <xf numFmtId="0" fontId="40" fillId="0" borderId="0" xfId="0" applyFont="1" applyAlignment="1">
      <alignment horizontal="left" vertical="center"/>
    </xf>
    <xf numFmtId="41" fontId="40" fillId="0" borderId="0" xfId="1" applyFont="1" applyAlignment="1">
      <alignment horizontal="left" vertical="center"/>
    </xf>
    <xf numFmtId="41" fontId="40" fillId="0" borderId="0" xfId="1" applyFont="1" applyFill="1" applyBorder="1" applyAlignment="1">
      <alignment horizontal="left" vertical="center"/>
    </xf>
    <xf numFmtId="0" fontId="39" fillId="0" borderId="0" xfId="0" applyFont="1">
      <alignment vertical="center"/>
    </xf>
    <xf numFmtId="41" fontId="39" fillId="0" borderId="0" xfId="1" applyFont="1">
      <alignment vertical="center"/>
    </xf>
    <xf numFmtId="0" fontId="39" fillId="0" borderId="0" xfId="0" applyFont="1" applyAlignment="1">
      <alignment horizontal="center" vertical="center"/>
    </xf>
    <xf numFmtId="0" fontId="39" fillId="0" borderId="18" xfId="0" applyFont="1" applyBorder="1">
      <alignment vertical="center"/>
    </xf>
    <xf numFmtId="41" fontId="39" fillId="0" borderId="18" xfId="1" applyFont="1" applyBorder="1">
      <alignment vertical="center"/>
    </xf>
    <xf numFmtId="0" fontId="39" fillId="0" borderId="18" xfId="0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14" fontId="39" fillId="0" borderId="0" xfId="0" applyNumberFormat="1" applyFont="1" applyAlignment="1">
      <alignment horizontal="left" vertical="center"/>
    </xf>
    <xf numFmtId="41" fontId="39" fillId="0" borderId="0" xfId="1" applyFont="1" applyBorder="1">
      <alignment vertical="center"/>
    </xf>
    <xf numFmtId="0" fontId="39" fillId="0" borderId="21" xfId="14" applyFont="1" applyBorder="1">
      <alignment vertical="center"/>
    </xf>
    <xf numFmtId="0" fontId="39" fillId="0" borderId="0" xfId="14" applyFont="1" applyAlignment="1">
      <alignment vertical="center" wrapText="1"/>
    </xf>
    <xf numFmtId="41" fontId="41" fillId="8" borderId="0" xfId="4" applyFont="1" applyFill="1" applyBorder="1" applyAlignment="1">
      <alignment horizontal="center" vertical="center"/>
    </xf>
    <xf numFmtId="41" fontId="39" fillId="0" borderId="0" xfId="1" applyFont="1" applyAlignment="1">
      <alignment horizontal="center" vertical="center"/>
    </xf>
    <xf numFmtId="41" fontId="39" fillId="0" borderId="0" xfId="1" applyFont="1" applyBorder="1" applyAlignment="1">
      <alignment horizontal="center" vertical="center"/>
    </xf>
    <xf numFmtId="0" fontId="39" fillId="9" borderId="7" xfId="0" applyFont="1" applyFill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42" fillId="10" borderId="7" xfId="0" applyFont="1" applyFill="1" applyBorder="1" applyAlignment="1">
      <alignment horizontal="center" vertical="center"/>
    </xf>
    <xf numFmtId="41" fontId="42" fillId="10" borderId="7" xfId="1" applyFont="1" applyFill="1" applyBorder="1" applyAlignment="1">
      <alignment horizontal="center" vertical="center"/>
    </xf>
    <xf numFmtId="41" fontId="41" fillId="10" borderId="22" xfId="4" applyFont="1" applyFill="1" applyBorder="1" applyAlignment="1">
      <alignment horizontal="center" vertical="center"/>
    </xf>
    <xf numFmtId="41" fontId="41" fillId="10" borderId="23" xfId="4" applyFont="1" applyFill="1" applyBorder="1" applyAlignment="1">
      <alignment vertical="center"/>
    </xf>
    <xf numFmtId="10" fontId="42" fillId="10" borderId="7" xfId="2" applyNumberFormat="1" applyFont="1" applyFill="1" applyBorder="1" applyAlignment="1">
      <alignment horizontal="center" vertical="center"/>
    </xf>
    <xf numFmtId="0" fontId="43" fillId="0" borderId="20" xfId="0" applyFont="1" applyBorder="1">
      <alignment vertical="center"/>
    </xf>
    <xf numFmtId="0" fontId="44" fillId="0" borderId="7" xfId="0" applyFont="1" applyBorder="1" applyAlignment="1">
      <alignment horizontal="center" vertical="center"/>
    </xf>
    <xf numFmtId="41" fontId="39" fillId="0" borderId="7" xfId="1" applyFont="1" applyFill="1" applyBorder="1" applyAlignment="1">
      <alignment horizontal="right" vertical="center"/>
    </xf>
    <xf numFmtId="10" fontId="44" fillId="0" borderId="7" xfId="2" applyNumberFormat="1" applyFont="1" applyFill="1" applyBorder="1" applyAlignment="1">
      <alignment horizontal="center" vertical="center"/>
    </xf>
    <xf numFmtId="41" fontId="44" fillId="0" borderId="7" xfId="4" applyFont="1" applyFill="1" applyBorder="1" applyAlignment="1">
      <alignment horizontal="center" vertical="center"/>
    </xf>
    <xf numFmtId="0" fontId="44" fillId="8" borderId="7" xfId="0" applyFont="1" applyFill="1" applyBorder="1" applyAlignment="1">
      <alignment horizontal="center" vertical="center"/>
    </xf>
    <xf numFmtId="41" fontId="39" fillId="8" borderId="7" xfId="1" applyFont="1" applyFill="1" applyBorder="1" applyAlignment="1">
      <alignment horizontal="right" vertical="center"/>
    </xf>
    <xf numFmtId="10" fontId="44" fillId="8" borderId="7" xfId="2" applyNumberFormat="1" applyFont="1" applyFill="1" applyBorder="1" applyAlignment="1">
      <alignment horizontal="center" vertical="center"/>
    </xf>
    <xf numFmtId="41" fontId="44" fillId="8" borderId="7" xfId="4" applyFont="1" applyFill="1" applyBorder="1" applyAlignment="1">
      <alignment horizontal="center" vertical="center"/>
    </xf>
    <xf numFmtId="0" fontId="26" fillId="12" borderId="0" xfId="0" applyFont="1" applyFill="1">
      <alignment vertical="center"/>
    </xf>
    <xf numFmtId="0" fontId="43" fillId="0" borderId="0" xfId="0" applyFont="1">
      <alignment vertical="center"/>
    </xf>
    <xf numFmtId="10" fontId="44" fillId="0" borderId="0" xfId="2" applyNumberFormat="1" applyFont="1" applyFill="1" applyBorder="1" applyAlignment="1">
      <alignment horizontal="center" vertical="center"/>
    </xf>
    <xf numFmtId="0" fontId="39" fillId="0" borderId="0" xfId="14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3" fillId="0" borderId="17" xfId="0" applyFont="1" applyBorder="1">
      <alignment vertical="center"/>
    </xf>
    <xf numFmtId="0" fontId="39" fillId="0" borderId="20" xfId="0" applyFont="1" applyBorder="1">
      <alignment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41" fontId="34" fillId="8" borderId="0" xfId="4" applyFont="1" applyFill="1" applyBorder="1" applyAlignment="1">
      <alignment horizontal="center" vertical="center"/>
    </xf>
    <xf numFmtId="41" fontId="31" fillId="0" borderId="0" xfId="1" applyFont="1" applyBorder="1" applyAlignment="1">
      <alignment horizontal="center" vertical="center"/>
    </xf>
    <xf numFmtId="0" fontId="47" fillId="0" borderId="0" xfId="0" applyFont="1">
      <alignment vertical="center"/>
    </xf>
    <xf numFmtId="10" fontId="36" fillId="8" borderId="13" xfId="2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41" fontId="7" fillId="0" borderId="0" xfId="1" applyFont="1" applyFill="1" applyBorder="1">
      <alignment vertical="center"/>
    </xf>
    <xf numFmtId="178" fontId="10" fillId="0" borderId="0" xfId="0" applyNumberFormat="1" applyFont="1" applyAlignment="1">
      <alignment horizontal="center" vertical="center"/>
    </xf>
    <xf numFmtId="0" fontId="37" fillId="14" borderId="1" xfId="0" applyFont="1" applyFill="1" applyBorder="1" applyAlignment="1">
      <alignment horizontal="center" vertical="center" wrapText="1"/>
    </xf>
    <xf numFmtId="0" fontId="37" fillId="14" borderId="1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1" fontId="4" fillId="14" borderId="0" xfId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4" fillId="15" borderId="0" xfId="1" applyFont="1" applyFill="1" applyBorder="1" applyAlignment="1">
      <alignment horizontal="center" vertical="center"/>
    </xf>
    <xf numFmtId="41" fontId="10" fillId="0" borderId="0" xfId="0" applyNumberFormat="1" applyFont="1" applyAlignment="1">
      <alignment horizontal="center" vertical="center"/>
    </xf>
    <xf numFmtId="41" fontId="0" fillId="0" borderId="0" xfId="1" applyFont="1">
      <alignment vertical="center"/>
    </xf>
    <xf numFmtId="0" fontId="37" fillId="16" borderId="1" xfId="0" applyFont="1" applyFill="1" applyBorder="1" applyAlignment="1">
      <alignment horizontal="center" vertical="center" wrapText="1"/>
    </xf>
    <xf numFmtId="0" fontId="38" fillId="16" borderId="1" xfId="0" applyFont="1" applyFill="1" applyBorder="1" applyAlignment="1">
      <alignment horizontal="center" vertical="center"/>
    </xf>
    <xf numFmtId="0" fontId="37" fillId="16" borderId="1" xfId="0" applyFont="1" applyFill="1" applyBorder="1" applyAlignment="1">
      <alignment horizontal="center" vertical="center"/>
    </xf>
    <xf numFmtId="0" fontId="20" fillId="0" borderId="0" xfId="14" applyFont="1">
      <alignment vertical="center"/>
    </xf>
    <xf numFmtId="0" fontId="48" fillId="0" borderId="0" xfId="14" applyFont="1">
      <alignment vertical="center"/>
    </xf>
    <xf numFmtId="43" fontId="31" fillId="0" borderId="0" xfId="14" applyNumberFormat="1" applyFont="1">
      <alignment vertical="center"/>
    </xf>
    <xf numFmtId="177" fontId="30" fillId="0" borderId="1" xfId="0" applyNumberFormat="1" applyFont="1" applyBorder="1" applyAlignment="1">
      <alignment horizontal="center" vertical="center"/>
    </xf>
    <xf numFmtId="177" fontId="27" fillId="0" borderId="1" xfId="0" applyNumberFormat="1" applyFont="1" applyBorder="1" applyAlignment="1">
      <alignment horizontal="center" vertical="center"/>
    </xf>
    <xf numFmtId="41" fontId="13" fillId="0" borderId="1" xfId="1" applyFont="1" applyFill="1" applyBorder="1" applyAlignment="1">
      <alignment horizontal="right" vertical="center"/>
    </xf>
    <xf numFmtId="41" fontId="13" fillId="0" borderId="1" xfId="1" applyFont="1" applyBorder="1" applyAlignment="1">
      <alignment horizontal="right" vertical="center"/>
    </xf>
    <xf numFmtId="41" fontId="30" fillId="0" borderId="1" xfId="1" applyFont="1" applyFill="1" applyBorder="1" applyAlignment="1">
      <alignment horizontal="right" vertical="center"/>
    </xf>
    <xf numFmtId="10" fontId="30" fillId="0" borderId="1" xfId="2" applyNumberFormat="1" applyFont="1" applyFill="1" applyBorder="1" applyAlignment="1">
      <alignment horizontal="center" vertical="center"/>
    </xf>
    <xf numFmtId="41" fontId="30" fillId="0" borderId="1" xfId="1" applyFont="1" applyFill="1" applyBorder="1" applyAlignment="1">
      <alignment horizontal="center" vertical="center"/>
    </xf>
    <xf numFmtId="41" fontId="30" fillId="0" borderId="1" xfId="1" applyFont="1" applyBorder="1" applyAlignment="1">
      <alignment horizontal="right" vertical="center"/>
    </xf>
    <xf numFmtId="41" fontId="27" fillId="0" borderId="1" xfId="1" applyFont="1" applyFill="1" applyBorder="1" applyAlignment="1">
      <alignment horizontal="right" vertical="center"/>
    </xf>
    <xf numFmtId="10" fontId="27" fillId="0" borderId="1" xfId="2" applyNumberFormat="1" applyFont="1" applyFill="1" applyBorder="1" applyAlignment="1">
      <alignment horizontal="center" vertical="center"/>
    </xf>
    <xf numFmtId="41" fontId="27" fillId="0" borderId="1" xfId="1" applyFont="1" applyFill="1" applyBorder="1" applyAlignment="1">
      <alignment horizontal="center" vertical="center"/>
    </xf>
    <xf numFmtId="41" fontId="27" fillId="0" borderId="1" xfId="1" applyFont="1" applyBorder="1" applyAlignment="1">
      <alignment horizontal="right" vertical="center"/>
    </xf>
    <xf numFmtId="0" fontId="39" fillId="0" borderId="15" xfId="14" applyFont="1" applyBorder="1" applyAlignment="1">
      <alignment horizontal="center" vertical="center"/>
    </xf>
    <xf numFmtId="0" fontId="39" fillId="0" borderId="16" xfId="14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183" fontId="10" fillId="17" borderId="7" xfId="18" applyNumberFormat="1" applyFont="1" applyFill="1" applyBorder="1" applyAlignment="1" applyProtection="1">
      <alignment horizontal="center" vertical="center"/>
    </xf>
    <xf numFmtId="41" fontId="13" fillId="0" borderId="42" xfId="1" applyFont="1" applyFill="1" applyBorder="1" applyAlignment="1">
      <alignment horizontal="right" vertical="center"/>
    </xf>
    <xf numFmtId="183" fontId="11" fillId="17" borderId="7" xfId="18" applyNumberFormat="1" applyFont="1" applyFill="1" applyBorder="1" applyAlignment="1" applyProtection="1">
      <alignment horizontal="center" vertical="center"/>
    </xf>
    <xf numFmtId="41" fontId="11" fillId="0" borderId="42" xfId="1" applyFont="1" applyFill="1" applyBorder="1" applyAlignment="1">
      <alignment horizontal="right" vertical="center"/>
    </xf>
    <xf numFmtId="41" fontId="11" fillId="0" borderId="1" xfId="1" applyFont="1" applyFill="1" applyBorder="1" applyAlignment="1">
      <alignment horizontal="right" vertical="center"/>
    </xf>
    <xf numFmtId="10" fontId="11" fillId="0" borderId="1" xfId="2" applyNumberFormat="1" applyFont="1" applyFill="1" applyBorder="1" applyAlignment="1">
      <alignment horizontal="center" vertical="center"/>
    </xf>
    <xf numFmtId="41" fontId="11" fillId="0" borderId="1" xfId="1" applyFont="1" applyFill="1" applyBorder="1" applyAlignment="1">
      <alignment horizontal="center" vertical="center"/>
    </xf>
    <xf numFmtId="41" fontId="11" fillId="0" borderId="1" xfId="1" applyFont="1" applyBorder="1" applyAlignment="1">
      <alignment horizontal="right" vertical="center"/>
    </xf>
    <xf numFmtId="183" fontId="16" fillId="17" borderId="7" xfId="18" applyNumberFormat="1" applyFont="1" applyFill="1" applyBorder="1" applyAlignment="1" applyProtection="1">
      <alignment horizontal="center" vertical="center"/>
    </xf>
    <xf numFmtId="41" fontId="16" fillId="0" borderId="42" xfId="1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0" fontId="16" fillId="0" borderId="1" xfId="2" applyNumberFormat="1" applyFont="1" applyFill="1" applyBorder="1" applyAlignment="1">
      <alignment horizontal="center" vertical="center"/>
    </xf>
    <xf numFmtId="41" fontId="16" fillId="0" borderId="1" xfId="1" applyFont="1" applyFill="1" applyBorder="1" applyAlignment="1">
      <alignment horizontal="center" vertical="center"/>
    </xf>
    <xf numFmtId="41" fontId="16" fillId="0" borderId="1" xfId="1" applyFont="1" applyBorder="1" applyAlignment="1">
      <alignment horizontal="right" vertical="center"/>
    </xf>
    <xf numFmtId="183" fontId="13" fillId="17" borderId="7" xfId="18" applyNumberFormat="1" applyFont="1" applyFill="1" applyBorder="1" applyAlignment="1" applyProtection="1">
      <alignment horizontal="center" vertical="center"/>
    </xf>
    <xf numFmtId="41" fontId="10" fillId="0" borderId="42" xfId="1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4" fillId="6" borderId="44" xfId="0" applyFont="1" applyFill="1" applyBorder="1" applyAlignment="1">
      <alignment horizontal="center" vertical="center"/>
    </xf>
    <xf numFmtId="41" fontId="19" fillId="6" borderId="44" xfId="1" applyFont="1" applyFill="1" applyBorder="1" applyAlignment="1">
      <alignment horizontal="center" vertical="center"/>
    </xf>
    <xf numFmtId="10" fontId="19" fillId="6" borderId="44" xfId="2" applyNumberFormat="1" applyFont="1" applyFill="1" applyBorder="1" applyAlignment="1">
      <alignment horizontal="center" vertical="center"/>
    </xf>
    <xf numFmtId="41" fontId="13" fillId="0" borderId="7" xfId="1" applyFont="1" applyFill="1" applyBorder="1" applyAlignment="1">
      <alignment horizontal="right" vertical="center"/>
    </xf>
    <xf numFmtId="10" fontId="13" fillId="0" borderId="7" xfId="2" applyNumberFormat="1" applyFont="1" applyFill="1" applyBorder="1" applyAlignment="1">
      <alignment horizontal="center" vertical="center"/>
    </xf>
    <xf numFmtId="41" fontId="13" fillId="0" borderId="7" xfId="1" applyFont="1" applyFill="1" applyBorder="1" applyAlignment="1">
      <alignment horizontal="center" vertical="center"/>
    </xf>
    <xf numFmtId="41" fontId="13" fillId="0" borderId="7" xfId="1" applyFont="1" applyBorder="1" applyAlignment="1">
      <alignment horizontal="right" vertical="center"/>
    </xf>
    <xf numFmtId="0" fontId="50" fillId="0" borderId="0" xfId="14" applyFont="1">
      <alignment vertical="center"/>
    </xf>
    <xf numFmtId="0" fontId="51" fillId="0" borderId="0" xfId="14" applyFont="1">
      <alignment vertical="center"/>
    </xf>
    <xf numFmtId="183" fontId="53" fillId="17" borderId="7" xfId="18" applyNumberFormat="1" applyFont="1" applyFill="1" applyBorder="1" applyAlignment="1" applyProtection="1">
      <alignment horizontal="center" vertical="center"/>
    </xf>
    <xf numFmtId="41" fontId="53" fillId="0" borderId="42" xfId="1" applyFont="1" applyFill="1" applyBorder="1" applyAlignment="1">
      <alignment horizontal="right" vertical="center"/>
    </xf>
    <xf numFmtId="41" fontId="53" fillId="0" borderId="1" xfId="1" applyFont="1" applyFill="1" applyBorder="1" applyAlignment="1">
      <alignment horizontal="right" vertical="center"/>
    </xf>
    <xf numFmtId="10" fontId="53" fillId="0" borderId="1" xfId="2" applyNumberFormat="1" applyFont="1" applyFill="1" applyBorder="1" applyAlignment="1">
      <alignment horizontal="center" vertical="center"/>
    </xf>
    <xf numFmtId="41" fontId="53" fillId="0" borderId="1" xfId="1" applyFont="1" applyFill="1" applyBorder="1" applyAlignment="1">
      <alignment horizontal="center" vertical="center"/>
    </xf>
    <xf numFmtId="41" fontId="53" fillId="0" borderId="1" xfId="1" applyFont="1" applyBorder="1" applyAlignment="1">
      <alignment horizontal="right" vertical="center"/>
    </xf>
    <xf numFmtId="0" fontId="53" fillId="0" borderId="0" xfId="0" applyFont="1" applyAlignment="1">
      <alignment horizontal="center" vertical="center"/>
    </xf>
    <xf numFmtId="0" fontId="54" fillId="0" borderId="0" xfId="14" applyFont="1">
      <alignment vertical="center"/>
    </xf>
    <xf numFmtId="0" fontId="55" fillId="0" borderId="0" xfId="0" applyFo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29" fillId="0" borderId="32" xfId="0" applyFont="1" applyBorder="1" applyAlignment="1">
      <alignment horizontal="left" vertical="top" wrapText="1"/>
    </xf>
    <xf numFmtId="0" fontId="29" fillId="0" borderId="33" xfId="0" applyFont="1" applyBorder="1" applyAlignment="1">
      <alignment horizontal="left" vertical="top" wrapText="1"/>
    </xf>
    <xf numFmtId="0" fontId="29" fillId="0" borderId="34" xfId="0" applyFont="1" applyBorder="1" applyAlignment="1">
      <alignment horizontal="left" vertical="top" wrapText="1"/>
    </xf>
    <xf numFmtId="0" fontId="29" fillId="0" borderId="35" xfId="0" applyFont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36" xfId="0" applyFont="1" applyBorder="1" applyAlignment="1">
      <alignment horizontal="left" vertical="top" wrapText="1"/>
    </xf>
    <xf numFmtId="0" fontId="29" fillId="0" borderId="37" xfId="0" applyFont="1" applyBorder="1" applyAlignment="1">
      <alignment horizontal="left" vertical="top" wrapText="1"/>
    </xf>
    <xf numFmtId="0" fontId="29" fillId="0" borderId="38" xfId="0" applyFont="1" applyBorder="1" applyAlignment="1">
      <alignment horizontal="left" vertical="top" wrapText="1"/>
    </xf>
    <xf numFmtId="0" fontId="29" fillId="0" borderId="39" xfId="0" applyFont="1" applyBorder="1" applyAlignment="1">
      <alignment horizontal="left" vertical="top" wrapText="1"/>
    </xf>
    <xf numFmtId="0" fontId="12" fillId="11" borderId="4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24" xfId="0" applyFont="1" applyFill="1" applyBorder="1" applyAlignment="1">
      <alignment horizontal="center" vertical="center"/>
    </xf>
    <xf numFmtId="0" fontId="14" fillId="6" borderId="41" xfId="0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41" fontId="10" fillId="0" borderId="28" xfId="1" applyFont="1" applyBorder="1" applyAlignment="1">
      <alignment horizontal="center" vertical="center"/>
    </xf>
    <xf numFmtId="41" fontId="10" fillId="0" borderId="29" xfId="1" applyFont="1" applyBorder="1" applyAlignment="1">
      <alignment horizontal="center" vertical="center"/>
    </xf>
    <xf numFmtId="41" fontId="10" fillId="0" borderId="30" xfId="1" applyFont="1" applyBorder="1" applyAlignment="1">
      <alignment horizontal="center" vertical="center"/>
    </xf>
    <xf numFmtId="41" fontId="10" fillId="0" borderId="31" xfId="1" applyFont="1" applyBorder="1" applyAlignment="1">
      <alignment horizontal="center" vertical="center"/>
    </xf>
    <xf numFmtId="0" fontId="32" fillId="10" borderId="0" xfId="0" applyFont="1" applyFill="1" applyAlignment="1">
      <alignment horizontal="left" vertical="center"/>
    </xf>
    <xf numFmtId="0" fontId="39" fillId="9" borderId="15" xfId="0" applyFont="1" applyFill="1" applyBorder="1" applyAlignment="1">
      <alignment horizontal="center" vertical="center" wrapText="1"/>
    </xf>
    <xf numFmtId="0" fontId="39" fillId="9" borderId="16" xfId="0" applyFont="1" applyFill="1" applyBorder="1" applyAlignment="1">
      <alignment horizontal="center" vertical="center" wrapText="1"/>
    </xf>
    <xf numFmtId="0" fontId="39" fillId="0" borderId="15" xfId="14" applyFont="1" applyBorder="1" applyAlignment="1">
      <alignment horizontal="center" vertical="center"/>
    </xf>
    <xf numFmtId="0" fontId="39" fillId="0" borderId="16" xfId="14" applyFont="1" applyBorder="1" applyAlignment="1">
      <alignment horizontal="center" vertical="center"/>
    </xf>
    <xf numFmtId="0" fontId="39" fillId="0" borderId="7" xfId="14" applyFont="1" applyBorder="1" applyAlignment="1">
      <alignment horizontal="center" vertical="center"/>
    </xf>
    <xf numFmtId="0" fontId="28" fillId="10" borderId="0" xfId="0" applyFont="1" applyFill="1" applyAlignment="1">
      <alignment horizontal="left" vertical="center"/>
    </xf>
    <xf numFmtId="0" fontId="26" fillId="0" borderId="1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46" fillId="13" borderId="4" xfId="0" applyFont="1" applyFill="1" applyBorder="1" applyAlignment="1">
      <alignment horizontal="center" vertical="center"/>
    </xf>
    <xf numFmtId="0" fontId="46" fillId="13" borderId="40" xfId="0" applyFont="1" applyFill="1" applyBorder="1" applyAlignment="1">
      <alignment horizontal="center" vertical="center"/>
    </xf>
    <xf numFmtId="0" fontId="46" fillId="14" borderId="4" xfId="0" applyFont="1" applyFill="1" applyBorder="1" applyAlignment="1">
      <alignment horizontal="center" vertical="center"/>
    </xf>
  </cellXfs>
  <cellStyles count="19">
    <cellStyle name="백분율" xfId="2" builtinId="5"/>
    <cellStyle name="설명 텍스트" xfId="18" builtinId="53"/>
    <cellStyle name="쉼표 [0]" xfId="1" builtinId="6"/>
    <cellStyle name="쉼표 [0] 2" xfId="4" xr:uid="{00000000-0005-0000-0000-000002000000}"/>
    <cellStyle name="쉼표 [0] 2 6" xfId="15" xr:uid="{00000000-0005-0000-0000-000003000000}"/>
    <cellStyle name="쉼표 [0] 3" xfId="7" xr:uid="{00000000-0005-0000-0000-000004000000}"/>
    <cellStyle name="쉼표 [0] 4" xfId="9" xr:uid="{00000000-0005-0000-0000-000005000000}"/>
    <cellStyle name="쉼표 [0] 5" xfId="12" xr:uid="{00000000-0005-0000-0000-000006000000}"/>
    <cellStyle name="통화 [0]" xfId="11" builtinId="7"/>
    <cellStyle name="통화 [0] 2" xfId="5" xr:uid="{00000000-0005-0000-0000-000008000000}"/>
    <cellStyle name="통화 [0] 3" xfId="8" xr:uid="{00000000-0005-0000-0000-000009000000}"/>
    <cellStyle name="통화 [0] 4" xfId="10" xr:uid="{00000000-0005-0000-0000-00000A000000}"/>
    <cellStyle name="통화 [0] 5" xfId="13" xr:uid="{00000000-0005-0000-0000-00000B000000}"/>
    <cellStyle name="표준" xfId="0" builtinId="0"/>
    <cellStyle name="표준 10 10 2" xfId="17" xr:uid="{00000000-0005-0000-0000-00000D000000}"/>
    <cellStyle name="표준 2" xfId="3" xr:uid="{00000000-0005-0000-0000-00000E000000}"/>
    <cellStyle name="표준 2 9" xfId="16" xr:uid="{00000000-0005-0000-0000-00000F000000}"/>
    <cellStyle name="표준 3" xfId="6" xr:uid="{00000000-0005-0000-0000-000010000000}"/>
    <cellStyle name="표준 35" xfId="14" xr:uid="{00000000-0005-0000-0000-000011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2D4C8B"/>
      <color rgb="FFEE6832"/>
      <color rgb="FFFEBEED"/>
      <color rgb="FFECCAE6"/>
      <color rgb="FF65255A"/>
      <color rgb="FFA23C91"/>
      <color rgb="FFBE4EAB"/>
      <color rgb="FFDA9AC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646154928134041E-2"/>
          <c:y val="7.8703703703703706E-2"/>
          <c:w val="0.92900617454934908"/>
          <c:h val="0.6868132108486438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파워링크_Summary!$F$66</c:f>
              <c:strCache>
                <c:ptCount val="1"/>
                <c:pt idx="0">
                  <c:v>CPC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파워링크_Summary!$B$73:$B$104</c:f>
              <c:strCache>
                <c:ptCount val="28"/>
                <c:pt idx="0">
                  <c:v>2026.02.09.</c:v>
                </c:pt>
                <c:pt idx="1">
                  <c:v>2026.02.10.</c:v>
                </c:pt>
                <c:pt idx="2">
                  <c:v>2026.02.11.</c:v>
                </c:pt>
                <c:pt idx="3">
                  <c:v>2026.02.12.</c:v>
                </c:pt>
                <c:pt idx="4">
                  <c:v>2026.02.13.</c:v>
                </c:pt>
                <c:pt idx="5">
                  <c:v>2026.02.14.</c:v>
                </c:pt>
                <c:pt idx="6">
                  <c:v>2026.02.15.</c:v>
                </c:pt>
                <c:pt idx="7">
                  <c:v>2026.02.16.</c:v>
                </c:pt>
                <c:pt idx="8">
                  <c:v>2026.02.17.</c:v>
                </c:pt>
                <c:pt idx="9">
                  <c:v>2026.02.18.</c:v>
                </c:pt>
                <c:pt idx="10">
                  <c:v>2026.02.19.</c:v>
                </c:pt>
                <c:pt idx="11">
                  <c:v>2026.02.20.</c:v>
                </c:pt>
                <c:pt idx="12">
                  <c:v>2026.02.21.</c:v>
                </c:pt>
                <c:pt idx="13">
                  <c:v>2026.02.22.</c:v>
                </c:pt>
                <c:pt idx="14">
                  <c:v>2026.02.23.</c:v>
                </c:pt>
                <c:pt idx="15">
                  <c:v>2026.02.24.</c:v>
                </c:pt>
                <c:pt idx="16">
                  <c:v>2026.02.25.</c:v>
                </c:pt>
                <c:pt idx="17">
                  <c:v>2026.02.26.</c:v>
                </c:pt>
                <c:pt idx="18">
                  <c:v>2026.02.27.</c:v>
                </c:pt>
                <c:pt idx="19">
                  <c:v>2026.02.28.</c:v>
                </c:pt>
                <c:pt idx="20">
                  <c:v>2026.03.01.</c:v>
                </c:pt>
                <c:pt idx="21">
                  <c:v>2026.03.02.</c:v>
                </c:pt>
                <c:pt idx="22">
                  <c:v>2026.03.03.</c:v>
                </c:pt>
                <c:pt idx="23">
                  <c:v>2026.03.04.</c:v>
                </c:pt>
                <c:pt idx="24">
                  <c:v>2026.03.05.</c:v>
                </c:pt>
                <c:pt idx="25">
                  <c:v>2026.03.06.</c:v>
                </c:pt>
                <c:pt idx="26">
                  <c:v>2026.03.07.</c:v>
                </c:pt>
                <c:pt idx="27">
                  <c:v>2026.03.08.</c:v>
                </c:pt>
              </c:strCache>
            </c:strRef>
          </c:cat>
          <c:val>
            <c:numRef>
              <c:f>파워링크_Summary!$F$69:$F$100</c:f>
              <c:numCache>
                <c:formatCode>_(* #,##0_);_(* \(#,##0\);_(* "-"_);_(@_)</c:formatCode>
                <c:ptCount val="28"/>
                <c:pt idx="0">
                  <c:v>8921.5238095238092</c:v>
                </c:pt>
                <c:pt idx="1">
                  <c:v>8073.083333333333</c:v>
                </c:pt>
                <c:pt idx="2">
                  <c:v>7131.5</c:v>
                </c:pt>
                <c:pt idx="3">
                  <c:v>4811.125</c:v>
                </c:pt>
                <c:pt idx="4">
                  <c:v>7322.333333333333</c:v>
                </c:pt>
                <c:pt idx="5">
                  <c:v>2398</c:v>
                </c:pt>
                <c:pt idx="6">
                  <c:v>5293.4444444444443</c:v>
                </c:pt>
                <c:pt idx="7">
                  <c:v>5136</c:v>
                </c:pt>
                <c:pt idx="8">
                  <c:v>5954.1428571428569</c:v>
                </c:pt>
                <c:pt idx="9">
                  <c:v>6889.666666666667</c:v>
                </c:pt>
                <c:pt idx="10">
                  <c:v>6521.68</c:v>
                </c:pt>
                <c:pt idx="11">
                  <c:v>6985.7333333333336</c:v>
                </c:pt>
                <c:pt idx="12">
                  <c:v>4400</c:v>
                </c:pt>
                <c:pt idx="13">
                  <c:v>5920.75</c:v>
                </c:pt>
                <c:pt idx="14">
                  <c:v>7792.8888888888887</c:v>
                </c:pt>
                <c:pt idx="15">
                  <c:v>6305.3157894736842</c:v>
                </c:pt>
                <c:pt idx="16">
                  <c:v>7000.4</c:v>
                </c:pt>
                <c:pt idx="17">
                  <c:v>6608.25</c:v>
                </c:pt>
                <c:pt idx="18">
                  <c:v>6298.7222222222226</c:v>
                </c:pt>
                <c:pt idx="19">
                  <c:v>2178</c:v>
                </c:pt>
                <c:pt idx="20">
                  <c:v>3784</c:v>
                </c:pt>
                <c:pt idx="21">
                  <c:v>6050</c:v>
                </c:pt>
                <c:pt idx="22">
                  <c:v>5392.588235294118</c:v>
                </c:pt>
                <c:pt idx="23">
                  <c:v>6041.333333333333</c:v>
                </c:pt>
                <c:pt idx="24">
                  <c:v>7616.6538461538457</c:v>
                </c:pt>
                <c:pt idx="25">
                  <c:v>6307.583333333333</c:v>
                </c:pt>
                <c:pt idx="26">
                  <c:v>2778.6</c:v>
                </c:pt>
                <c:pt idx="27">
                  <c:v>3609.375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3-41DE-AEA5-CCBF32A20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50488320"/>
        <c:axId val="14087808"/>
        <c:extLst/>
      </c:barChart>
      <c:lineChart>
        <c:grouping val="standard"/>
        <c:varyColors val="0"/>
        <c:ser>
          <c:idx val="4"/>
          <c:order val="1"/>
          <c:tx>
            <c:strRef>
              <c:f>파워링크_Summary!$E$66</c:f>
              <c:strCache>
                <c:ptCount val="1"/>
                <c:pt idx="0">
                  <c:v>CTR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파워링크_Summary!$B$69:$B$100</c:f>
              <c:strCache>
                <c:ptCount val="28"/>
                <c:pt idx="0">
                  <c:v>2026.02.09.</c:v>
                </c:pt>
                <c:pt idx="1">
                  <c:v>2026.02.10.</c:v>
                </c:pt>
                <c:pt idx="2">
                  <c:v>2026.02.11.</c:v>
                </c:pt>
                <c:pt idx="3">
                  <c:v>2026.02.12.</c:v>
                </c:pt>
                <c:pt idx="4">
                  <c:v>2026.02.13.</c:v>
                </c:pt>
                <c:pt idx="5">
                  <c:v>2026.02.14.</c:v>
                </c:pt>
                <c:pt idx="6">
                  <c:v>2026.02.15.</c:v>
                </c:pt>
                <c:pt idx="7">
                  <c:v>2026.02.16.</c:v>
                </c:pt>
                <c:pt idx="8">
                  <c:v>2026.02.17.</c:v>
                </c:pt>
                <c:pt idx="9">
                  <c:v>2026.02.18.</c:v>
                </c:pt>
                <c:pt idx="10">
                  <c:v>2026.02.19.</c:v>
                </c:pt>
                <c:pt idx="11">
                  <c:v>2026.02.20.</c:v>
                </c:pt>
                <c:pt idx="12">
                  <c:v>2026.02.21.</c:v>
                </c:pt>
                <c:pt idx="13">
                  <c:v>2026.02.22.</c:v>
                </c:pt>
                <c:pt idx="14">
                  <c:v>2026.02.23.</c:v>
                </c:pt>
                <c:pt idx="15">
                  <c:v>2026.02.24.</c:v>
                </c:pt>
                <c:pt idx="16">
                  <c:v>2026.02.25.</c:v>
                </c:pt>
                <c:pt idx="17">
                  <c:v>2026.02.26.</c:v>
                </c:pt>
                <c:pt idx="18">
                  <c:v>2026.02.27.</c:v>
                </c:pt>
                <c:pt idx="19">
                  <c:v>2026.02.28.</c:v>
                </c:pt>
                <c:pt idx="20">
                  <c:v>2026.03.01.</c:v>
                </c:pt>
                <c:pt idx="21">
                  <c:v>2026.03.02.</c:v>
                </c:pt>
                <c:pt idx="22">
                  <c:v>2026.03.03.</c:v>
                </c:pt>
                <c:pt idx="23">
                  <c:v>2026.03.04.</c:v>
                </c:pt>
                <c:pt idx="24">
                  <c:v>2026.03.05.</c:v>
                </c:pt>
                <c:pt idx="25">
                  <c:v>2026.03.06.</c:v>
                </c:pt>
                <c:pt idx="26">
                  <c:v>2026.03.07.</c:v>
                </c:pt>
                <c:pt idx="27">
                  <c:v>2026.03.08.</c:v>
                </c:pt>
              </c:strCache>
            </c:strRef>
          </c:cat>
          <c:val>
            <c:numRef>
              <c:f>파워링크_Summary!$E$69:$E$100</c:f>
              <c:numCache>
                <c:formatCode>0.00%</c:formatCode>
                <c:ptCount val="28"/>
                <c:pt idx="0">
                  <c:v>2.7027027027027029E-2</c:v>
                </c:pt>
                <c:pt idx="1">
                  <c:v>1.6415868673050615E-2</c:v>
                </c:pt>
                <c:pt idx="2">
                  <c:v>3.9855072463768113E-2</c:v>
                </c:pt>
                <c:pt idx="3">
                  <c:v>3.2128514056224897E-2</c:v>
                </c:pt>
                <c:pt idx="4">
                  <c:v>2.2684310018903593E-2</c:v>
                </c:pt>
                <c:pt idx="5">
                  <c:v>7.0422535211267607E-3</c:v>
                </c:pt>
                <c:pt idx="6">
                  <c:v>3.2967032967032968E-2</c:v>
                </c:pt>
                <c:pt idx="7">
                  <c:v>2.736318407960199E-2</c:v>
                </c:pt>
                <c:pt idx="8">
                  <c:v>1.9073569482288829E-2</c:v>
                </c:pt>
                <c:pt idx="9">
                  <c:v>2.1531100478468901E-2</c:v>
                </c:pt>
                <c:pt idx="10">
                  <c:v>3.1645569620253167E-2</c:v>
                </c:pt>
                <c:pt idx="11">
                  <c:v>2.2288261515601784E-2</c:v>
                </c:pt>
                <c:pt idx="12">
                  <c:v>1.7595307917888565E-2</c:v>
                </c:pt>
                <c:pt idx="13">
                  <c:v>1.2012012012012012E-2</c:v>
                </c:pt>
                <c:pt idx="14">
                  <c:v>2.3076923076923078E-2</c:v>
                </c:pt>
                <c:pt idx="15">
                  <c:v>2.2673031026252982E-2</c:v>
                </c:pt>
                <c:pt idx="16">
                  <c:v>1.8633540372670808E-2</c:v>
                </c:pt>
                <c:pt idx="17">
                  <c:v>3.7037037037037035E-2</c:v>
                </c:pt>
                <c:pt idx="18">
                  <c:v>2.5034770514603615E-2</c:v>
                </c:pt>
                <c:pt idx="19">
                  <c:v>8.5836909871244635E-3</c:v>
                </c:pt>
                <c:pt idx="20">
                  <c:v>2.9288702928870293E-2</c:v>
                </c:pt>
                <c:pt idx="21">
                  <c:v>1.7211703958691909E-2</c:v>
                </c:pt>
                <c:pt idx="22">
                  <c:v>3.2755298651252408E-2</c:v>
                </c:pt>
                <c:pt idx="23">
                  <c:v>4.5392022008253097E-2</c:v>
                </c:pt>
                <c:pt idx="24">
                  <c:v>4.3844856661045532E-2</c:v>
                </c:pt>
                <c:pt idx="25">
                  <c:v>3.669724770642202E-2</c:v>
                </c:pt>
                <c:pt idx="26">
                  <c:v>1.937984496124031E-2</c:v>
                </c:pt>
                <c:pt idx="27">
                  <c:v>3.2388663967611336E-2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D3-41DE-AEA5-CCBF32A20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489344"/>
        <c:axId val="14088384"/>
      </c:lineChart>
      <c:catAx>
        <c:axId val="125048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4087808"/>
        <c:crosses val="autoZero"/>
        <c:auto val="1"/>
        <c:lblAlgn val="ctr"/>
        <c:lblOffset val="100"/>
        <c:noMultiLvlLbl val="1"/>
      </c:catAx>
      <c:valAx>
        <c:axId val="1408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250488320"/>
        <c:crosses val="autoZero"/>
        <c:crossBetween val="between"/>
      </c:valAx>
      <c:valAx>
        <c:axId val="140883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250489344"/>
        <c:crosses val="max"/>
        <c:crossBetween val="between"/>
      </c:valAx>
      <c:catAx>
        <c:axId val="1250489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88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나눔바른고딕" panose="020B0603020101020101" pitchFamily="50" charset="-127"/>
              <a:ea typeface="나눔바른고딕" panose="020B0603020101020101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나눔바른고딕" panose="020B0603020101020101" pitchFamily="50" charset="-127"/>
          <a:ea typeface="나눔바른고딕" panose="020B0603020101020101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646154928134041E-2"/>
          <c:y val="7.8703703703703706E-2"/>
          <c:w val="0.92900617454934908"/>
          <c:h val="0.6868132108486438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카카오_Summary!$F$52</c:f>
              <c:strCache>
                <c:ptCount val="1"/>
                <c:pt idx="0">
                  <c:v>CPC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numRef>
              <c:f>카카오_Summary!$B$55:$B$85</c:f>
              <c:numCache>
                <c:formatCode>m"월"\ d"일";@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카카오_Summary!$F$55:$F$85</c:f>
              <c:numCache>
                <c:formatCode>_(* #,##0_);_(* \(#,##0\);_(* "-"_);_(@_)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6-4623-8AED-053A43684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50488320"/>
        <c:axId val="14087808"/>
        <c:extLst/>
      </c:barChart>
      <c:lineChart>
        <c:grouping val="standard"/>
        <c:varyColors val="0"/>
        <c:ser>
          <c:idx val="4"/>
          <c:order val="1"/>
          <c:tx>
            <c:strRef>
              <c:f>카카오_Summary!$E$52</c:f>
              <c:strCache>
                <c:ptCount val="1"/>
                <c:pt idx="0">
                  <c:v>CTR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카카오_Summary!$B$55:$B$85</c:f>
              <c:numCache>
                <c:formatCode>m"월"\ d"일";@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카카오_Summary!$E$55:$E$85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26-4623-8AED-053A43684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489344"/>
        <c:axId val="14088384"/>
      </c:lineChart>
      <c:dateAx>
        <c:axId val="1250488320"/>
        <c:scaling>
          <c:orientation val="minMax"/>
        </c:scaling>
        <c:delete val="0"/>
        <c:axPos val="b"/>
        <c:numFmt formatCode="m&quot;월&quot;\ d&quot;일&quot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4087808"/>
        <c:crosses val="autoZero"/>
        <c:auto val="1"/>
        <c:lblOffset val="100"/>
        <c:baseTimeUnit val="days"/>
      </c:dateAx>
      <c:valAx>
        <c:axId val="1408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250488320"/>
        <c:crosses val="autoZero"/>
        <c:crossBetween val="between"/>
      </c:valAx>
      <c:valAx>
        <c:axId val="140883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250489344"/>
        <c:crosses val="max"/>
        <c:crossBetween val="between"/>
      </c:valAx>
      <c:dateAx>
        <c:axId val="1250489344"/>
        <c:scaling>
          <c:orientation val="minMax"/>
        </c:scaling>
        <c:delete val="1"/>
        <c:axPos val="b"/>
        <c:numFmt formatCode="m&quot;월&quot;\ d&quot;일&quot;;@" sourceLinked="1"/>
        <c:majorTickMark val="out"/>
        <c:minorTickMark val="none"/>
        <c:tickLblPos val="nextTo"/>
        <c:crossAx val="1408838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나눔바른고딕" panose="020B0603020101020101" pitchFamily="50" charset="-127"/>
              <a:ea typeface="나눔바른고딕" panose="020B0603020101020101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나눔바른고딕" panose="020B0603020101020101" pitchFamily="50" charset="-127"/>
          <a:ea typeface="나눔바른고딕" panose="020B0603020101020101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646154928134041E-2"/>
          <c:y val="7.8703703703703706E-2"/>
          <c:w val="0.92900617454934908"/>
          <c:h val="0.6868132108486438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구글_Summary!$F$52</c:f>
              <c:strCache>
                <c:ptCount val="1"/>
                <c:pt idx="0">
                  <c:v>CPC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numRef>
              <c:f>구글_Summary!$B$55:$B$85</c:f>
              <c:numCache>
                <c:formatCode>yyyy/mm/dd;@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구글_Summary!$F$55:$F$85</c:f>
              <c:numCache>
                <c:formatCode>_(* #,##0_);_(* \(#,##0\);_(* "-"_);_(@_)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9-411D-8088-48AFBA132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50488320"/>
        <c:axId val="14087808"/>
        <c:extLst/>
      </c:barChart>
      <c:lineChart>
        <c:grouping val="standard"/>
        <c:varyColors val="0"/>
        <c:ser>
          <c:idx val="4"/>
          <c:order val="1"/>
          <c:tx>
            <c:strRef>
              <c:f>구글_Summary!$E$52</c:f>
              <c:strCache>
                <c:ptCount val="1"/>
                <c:pt idx="0">
                  <c:v>CTR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구글_Summary!$B$55:$B$85</c:f>
              <c:numCache>
                <c:formatCode>yyyy/mm/dd;@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구글_Summary!$E$55:$E$85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9-411D-8088-48AFBA132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489344"/>
        <c:axId val="14088384"/>
      </c:lineChart>
      <c:dateAx>
        <c:axId val="1250488320"/>
        <c:scaling>
          <c:orientation val="minMax"/>
        </c:scaling>
        <c:delete val="0"/>
        <c:axPos val="b"/>
        <c:numFmt formatCode="yyyy/mm/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4087808"/>
        <c:crosses val="autoZero"/>
        <c:auto val="1"/>
        <c:lblOffset val="100"/>
        <c:baseTimeUnit val="days"/>
      </c:dateAx>
      <c:valAx>
        <c:axId val="1408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250488320"/>
        <c:crosses val="autoZero"/>
        <c:crossBetween val="between"/>
      </c:valAx>
      <c:valAx>
        <c:axId val="140883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250489344"/>
        <c:crosses val="max"/>
        <c:crossBetween val="between"/>
      </c:valAx>
      <c:dateAx>
        <c:axId val="1250489344"/>
        <c:scaling>
          <c:orientation val="minMax"/>
        </c:scaling>
        <c:delete val="1"/>
        <c:axPos val="b"/>
        <c:numFmt formatCode="yyyy/mm/dd;@" sourceLinked="1"/>
        <c:majorTickMark val="out"/>
        <c:minorTickMark val="none"/>
        <c:tickLblPos val="nextTo"/>
        <c:crossAx val="1408838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나눔바른고딕" panose="020B0603020101020101" pitchFamily="50" charset="-127"/>
              <a:ea typeface="나눔바른고딕" panose="020B0603020101020101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나눔바른고딕" panose="020B0603020101020101" pitchFamily="50" charset="-127"/>
          <a:ea typeface="나눔바른고딕" panose="020B0603020101020101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7</xdr:row>
      <xdr:rowOff>168088</xdr:rowOff>
    </xdr:from>
    <xdr:to>
      <xdr:col>10</xdr:col>
      <xdr:colOff>0</xdr:colOff>
      <xdr:row>30</xdr:row>
      <xdr:rowOff>105336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44823</xdr:colOff>
      <xdr:row>9</xdr:row>
      <xdr:rowOff>22412</xdr:rowOff>
    </xdr:from>
    <xdr:to>
      <xdr:col>14</xdr:col>
      <xdr:colOff>2172423</xdr:colOff>
      <xdr:row>10</xdr:row>
      <xdr:rowOff>333830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47AB073-412C-FF7E-47B0-817ED94F00D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3941" y="1781736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44823</xdr:colOff>
      <xdr:row>11</xdr:row>
      <xdr:rowOff>11207</xdr:rowOff>
    </xdr:from>
    <xdr:to>
      <xdr:col>14</xdr:col>
      <xdr:colOff>2172423</xdr:colOff>
      <xdr:row>12</xdr:row>
      <xdr:rowOff>322624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A297EAB-E7B1-DD7F-DD4C-F8C6C417447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03941" y="2465295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44823</xdr:colOff>
      <xdr:row>19</xdr:row>
      <xdr:rowOff>22412</xdr:rowOff>
    </xdr:from>
    <xdr:to>
      <xdr:col>14</xdr:col>
      <xdr:colOff>2172423</xdr:colOff>
      <xdr:row>20</xdr:row>
      <xdr:rowOff>333830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66BDD767-D2EE-6B74-70EA-5709CD9D112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03941" y="3171265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33617</xdr:colOff>
      <xdr:row>21</xdr:row>
      <xdr:rowOff>22412</xdr:rowOff>
    </xdr:from>
    <xdr:to>
      <xdr:col>14</xdr:col>
      <xdr:colOff>2161217</xdr:colOff>
      <xdr:row>22</xdr:row>
      <xdr:rowOff>333830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785782B3-7581-6098-40EB-F893ADDE3DE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92735" y="3866030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44823</xdr:colOff>
      <xdr:row>35</xdr:row>
      <xdr:rowOff>22412</xdr:rowOff>
    </xdr:from>
    <xdr:to>
      <xdr:col>14</xdr:col>
      <xdr:colOff>2172423</xdr:colOff>
      <xdr:row>36</xdr:row>
      <xdr:rowOff>333830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F93422DF-AD40-BBE0-6E43-71E53177901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03941" y="5255559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33615</xdr:colOff>
      <xdr:row>37</xdr:row>
      <xdr:rowOff>33617</xdr:rowOff>
    </xdr:from>
    <xdr:to>
      <xdr:col>14</xdr:col>
      <xdr:colOff>2161215</xdr:colOff>
      <xdr:row>38</xdr:row>
      <xdr:rowOff>345035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44E751BD-6111-7E0B-0CB9-4C4F2294630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92733" y="5961529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22409</xdr:colOff>
      <xdr:row>39</xdr:row>
      <xdr:rowOff>22412</xdr:rowOff>
    </xdr:from>
    <xdr:to>
      <xdr:col>14</xdr:col>
      <xdr:colOff>2150009</xdr:colOff>
      <xdr:row>40</xdr:row>
      <xdr:rowOff>333829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F6AA7B42-7A5A-E631-364E-F4C71497E6A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81527" y="8729383"/>
          <a:ext cx="2127600" cy="658799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33615</xdr:colOff>
      <xdr:row>41</xdr:row>
      <xdr:rowOff>22412</xdr:rowOff>
    </xdr:from>
    <xdr:to>
      <xdr:col>14</xdr:col>
      <xdr:colOff>2161215</xdr:colOff>
      <xdr:row>42</xdr:row>
      <xdr:rowOff>333829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5A98EB0-E0DB-9E13-9C42-9E7A974BF9F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92733" y="7339853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22409</xdr:colOff>
      <xdr:row>43</xdr:row>
      <xdr:rowOff>22411</xdr:rowOff>
    </xdr:from>
    <xdr:to>
      <xdr:col>14</xdr:col>
      <xdr:colOff>2150009</xdr:colOff>
      <xdr:row>44</xdr:row>
      <xdr:rowOff>333829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5CE7FCFC-F2FD-B9A2-131A-66BC145CB44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81527" y="10118911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33616</xdr:colOff>
      <xdr:row>45</xdr:row>
      <xdr:rowOff>33616</xdr:rowOff>
    </xdr:from>
    <xdr:to>
      <xdr:col>14</xdr:col>
      <xdr:colOff>2161216</xdr:colOff>
      <xdr:row>46</xdr:row>
      <xdr:rowOff>345034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ACB8414E-B0BD-8289-5B7D-730A9E413E8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92734" y="8740587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33616</xdr:colOff>
      <xdr:row>47</xdr:row>
      <xdr:rowOff>33617</xdr:rowOff>
    </xdr:from>
    <xdr:to>
      <xdr:col>14</xdr:col>
      <xdr:colOff>2161216</xdr:colOff>
      <xdr:row>48</xdr:row>
      <xdr:rowOff>345034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17CABF55-7559-8B99-0BCB-FDCAE6BB8EF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92734" y="9435352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33616</xdr:colOff>
      <xdr:row>49</xdr:row>
      <xdr:rowOff>33617</xdr:rowOff>
    </xdr:from>
    <xdr:to>
      <xdr:col>14</xdr:col>
      <xdr:colOff>2161216</xdr:colOff>
      <xdr:row>50</xdr:row>
      <xdr:rowOff>345035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55CCC67D-4955-7A9A-CFBF-F096AECD1E9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592734" y="10130117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33616</xdr:colOff>
      <xdr:row>51</xdr:row>
      <xdr:rowOff>33616</xdr:rowOff>
    </xdr:from>
    <xdr:to>
      <xdr:col>14</xdr:col>
      <xdr:colOff>2161216</xdr:colOff>
      <xdr:row>52</xdr:row>
      <xdr:rowOff>345034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C7222A98-3C7F-E0A0-6577-B1902873D48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592734" y="10824881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33616</xdr:colOff>
      <xdr:row>53</xdr:row>
      <xdr:rowOff>33617</xdr:rowOff>
    </xdr:from>
    <xdr:to>
      <xdr:col>14</xdr:col>
      <xdr:colOff>2161216</xdr:colOff>
      <xdr:row>54</xdr:row>
      <xdr:rowOff>345034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9D78ECC0-BD72-E6B4-2508-02106E2AE99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592734" y="11519646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33616</xdr:colOff>
      <xdr:row>55</xdr:row>
      <xdr:rowOff>33617</xdr:rowOff>
    </xdr:from>
    <xdr:to>
      <xdr:col>14</xdr:col>
      <xdr:colOff>2161216</xdr:colOff>
      <xdr:row>56</xdr:row>
      <xdr:rowOff>345035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BEE93021-07D3-D1AB-EDF5-E20B0B93F4C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592734" y="12214411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33616</xdr:colOff>
      <xdr:row>59</xdr:row>
      <xdr:rowOff>33616</xdr:rowOff>
    </xdr:from>
    <xdr:to>
      <xdr:col>14</xdr:col>
      <xdr:colOff>2161216</xdr:colOff>
      <xdr:row>60</xdr:row>
      <xdr:rowOff>345034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585F3DD9-19E4-353A-C26E-1C524F323AD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592734" y="12909175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33616</xdr:colOff>
      <xdr:row>63</xdr:row>
      <xdr:rowOff>33617</xdr:rowOff>
    </xdr:from>
    <xdr:to>
      <xdr:col>14</xdr:col>
      <xdr:colOff>2161216</xdr:colOff>
      <xdr:row>64</xdr:row>
      <xdr:rowOff>345035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2501A2C2-D166-7564-135C-9B0E6E5615F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592734" y="13603941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>
    <xdr:from>
      <xdr:col>14</xdr:col>
      <xdr:colOff>33616</xdr:colOff>
      <xdr:row>65</xdr:row>
      <xdr:rowOff>33617</xdr:rowOff>
    </xdr:from>
    <xdr:to>
      <xdr:col>14</xdr:col>
      <xdr:colOff>2161216</xdr:colOff>
      <xdr:row>66</xdr:row>
      <xdr:rowOff>345034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7C03B668-7243-236C-F0B0-7086BBAF91A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592734" y="14298705"/>
          <a:ext cx="2127600" cy="65880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14</xdr:col>
      <xdr:colOff>11205</xdr:colOff>
      <xdr:row>23</xdr:row>
      <xdr:rowOff>22413</xdr:rowOff>
    </xdr:from>
    <xdr:to>
      <xdr:col>14</xdr:col>
      <xdr:colOff>2138805</xdr:colOff>
      <xdr:row>24</xdr:row>
      <xdr:rowOff>333830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9F9B9A-C674-D079-B28E-F541AD65D8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570323" y="4560795"/>
          <a:ext cx="2127600" cy="658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22412</xdr:colOff>
      <xdr:row>31</xdr:row>
      <xdr:rowOff>22412</xdr:rowOff>
    </xdr:from>
    <xdr:to>
      <xdr:col>14</xdr:col>
      <xdr:colOff>2150012</xdr:colOff>
      <xdr:row>32</xdr:row>
      <xdr:rowOff>333829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F7C8FF9-BD0C-5D20-352B-935458C4750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581530" y="5950324"/>
          <a:ext cx="2127600" cy="658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22411</xdr:colOff>
      <xdr:row>33</xdr:row>
      <xdr:rowOff>11208</xdr:rowOff>
    </xdr:from>
    <xdr:to>
      <xdr:col>14</xdr:col>
      <xdr:colOff>2150011</xdr:colOff>
      <xdr:row>34</xdr:row>
      <xdr:rowOff>322626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E662DCE-C4B7-7F41-62AB-092B4DE79A9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581529" y="6633884"/>
          <a:ext cx="2127600" cy="658800"/>
        </a:xfrm>
        <a:prstGeom prst="rect">
          <a:avLst/>
        </a:prstGeom>
      </xdr:spPr>
    </xdr:pic>
    <xdr:clientData/>
  </xdr:twoCellAnchor>
  <xdr:twoCellAnchor editAs="oneCell">
    <xdr:from>
      <xdr:col>14</xdr:col>
      <xdr:colOff>11205</xdr:colOff>
      <xdr:row>25</xdr:row>
      <xdr:rowOff>22413</xdr:rowOff>
    </xdr:from>
    <xdr:to>
      <xdr:col>14</xdr:col>
      <xdr:colOff>2138805</xdr:colOff>
      <xdr:row>26</xdr:row>
      <xdr:rowOff>333831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007CED5-7DC3-F2BE-3007-3E0B232C950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570323" y="5255560"/>
          <a:ext cx="2127600" cy="658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22411</xdr:colOff>
      <xdr:row>61</xdr:row>
      <xdr:rowOff>22412</xdr:rowOff>
    </xdr:from>
    <xdr:to>
      <xdr:col>14</xdr:col>
      <xdr:colOff>2150011</xdr:colOff>
      <xdr:row>62</xdr:row>
      <xdr:rowOff>333830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6D04516-42FE-AE78-CA97-FF8B160079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581529" y="16371794"/>
          <a:ext cx="2127600" cy="658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22411</xdr:colOff>
      <xdr:row>57</xdr:row>
      <xdr:rowOff>22412</xdr:rowOff>
    </xdr:from>
    <xdr:to>
      <xdr:col>14</xdr:col>
      <xdr:colOff>2150011</xdr:colOff>
      <xdr:row>58</xdr:row>
      <xdr:rowOff>333829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FA61466-B89C-21F9-D6C5-D9D608E404B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581529" y="14982265"/>
          <a:ext cx="2127600" cy="658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22411</xdr:colOff>
      <xdr:row>67</xdr:row>
      <xdr:rowOff>22411</xdr:rowOff>
    </xdr:from>
    <xdr:to>
      <xdr:col>14</xdr:col>
      <xdr:colOff>2150011</xdr:colOff>
      <xdr:row>68</xdr:row>
      <xdr:rowOff>333829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686E82E-5013-BB10-D925-FA1F7EF9482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581529" y="18456087"/>
          <a:ext cx="2127600" cy="658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22412</xdr:colOff>
      <xdr:row>69</xdr:row>
      <xdr:rowOff>33618</xdr:rowOff>
    </xdr:from>
    <xdr:to>
      <xdr:col>14</xdr:col>
      <xdr:colOff>2715829</xdr:colOff>
      <xdr:row>70</xdr:row>
      <xdr:rowOff>293635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A7B3387-258A-64EA-C510-F79D2A3D0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581530" y="19162059"/>
          <a:ext cx="2693417" cy="607399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22412</xdr:colOff>
      <xdr:row>71</xdr:row>
      <xdr:rowOff>33619</xdr:rowOff>
    </xdr:from>
    <xdr:to>
      <xdr:col>14</xdr:col>
      <xdr:colOff>2734235</xdr:colOff>
      <xdr:row>72</xdr:row>
      <xdr:rowOff>305906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0BC5218-1EE8-FC8D-48A0-0D67C51E0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581530" y="19856825"/>
          <a:ext cx="2711823" cy="619670"/>
        </a:xfrm>
        <a:prstGeom prst="rect">
          <a:avLst/>
        </a:prstGeom>
      </xdr:spPr>
    </xdr:pic>
    <xdr:clientData/>
  </xdr:twoCellAnchor>
  <xdr:twoCellAnchor editAs="oneCell">
    <xdr:from>
      <xdr:col>14</xdr:col>
      <xdr:colOff>56030</xdr:colOff>
      <xdr:row>13</xdr:row>
      <xdr:rowOff>44824</xdr:rowOff>
    </xdr:from>
    <xdr:to>
      <xdr:col>14</xdr:col>
      <xdr:colOff>2498912</xdr:colOff>
      <xdr:row>14</xdr:row>
      <xdr:rowOff>340014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46315C7A-9C33-95E5-BDC8-8245041C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615148" y="3193677"/>
          <a:ext cx="2442882" cy="642572"/>
        </a:xfrm>
        <a:prstGeom prst="rect">
          <a:avLst/>
        </a:prstGeom>
      </xdr:spPr>
    </xdr:pic>
    <xdr:clientData/>
  </xdr:twoCellAnchor>
  <xdr:twoCellAnchor editAs="oneCell">
    <xdr:from>
      <xdr:col>14</xdr:col>
      <xdr:colOff>33618</xdr:colOff>
      <xdr:row>15</xdr:row>
      <xdr:rowOff>11206</xdr:rowOff>
    </xdr:from>
    <xdr:to>
      <xdr:col>14</xdr:col>
      <xdr:colOff>2599764</xdr:colOff>
      <xdr:row>16</xdr:row>
      <xdr:rowOff>345818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B25A90A1-3C15-102C-3211-0607A7B42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3592736" y="3854824"/>
          <a:ext cx="2566146" cy="681994"/>
        </a:xfrm>
        <a:prstGeom prst="rect">
          <a:avLst/>
        </a:prstGeom>
      </xdr:spPr>
    </xdr:pic>
    <xdr:clientData/>
  </xdr:twoCellAnchor>
  <xdr:twoCellAnchor editAs="oneCell">
    <xdr:from>
      <xdr:col>14</xdr:col>
      <xdr:colOff>44823</xdr:colOff>
      <xdr:row>17</xdr:row>
      <xdr:rowOff>44824</xdr:rowOff>
    </xdr:from>
    <xdr:to>
      <xdr:col>14</xdr:col>
      <xdr:colOff>2442882</xdr:colOff>
      <xdr:row>18</xdr:row>
      <xdr:rowOff>317347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7C5A7DA8-7EFB-C75B-82B4-3C2B08462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3603941" y="4583206"/>
          <a:ext cx="2398059" cy="619906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22411</xdr:colOff>
      <xdr:row>27</xdr:row>
      <xdr:rowOff>44824</xdr:rowOff>
    </xdr:from>
    <xdr:to>
      <xdr:col>14</xdr:col>
      <xdr:colOff>2670546</xdr:colOff>
      <xdr:row>28</xdr:row>
      <xdr:rowOff>302559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7926EE1D-7529-EE7C-0402-A5930CD68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581529" y="8057030"/>
          <a:ext cx="2648135" cy="605117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22411</xdr:colOff>
      <xdr:row>29</xdr:row>
      <xdr:rowOff>22411</xdr:rowOff>
    </xdr:from>
    <xdr:to>
      <xdr:col>14</xdr:col>
      <xdr:colOff>2689414</xdr:colOff>
      <xdr:row>30</xdr:row>
      <xdr:rowOff>302558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9C625654-D684-7B7F-7443-8C1B86C79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3581529" y="8729382"/>
          <a:ext cx="2667003" cy="6275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7</xdr:row>
      <xdr:rowOff>78441</xdr:rowOff>
    </xdr:from>
    <xdr:to>
      <xdr:col>10</xdr:col>
      <xdr:colOff>0</xdr:colOff>
      <xdr:row>30</xdr:row>
      <xdr:rowOff>15689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8BDD15B-DA75-4667-BB1E-F1DD251AA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7</xdr:row>
      <xdr:rowOff>78441</xdr:rowOff>
    </xdr:from>
    <xdr:to>
      <xdr:col>10</xdr:col>
      <xdr:colOff>0</xdr:colOff>
      <xdr:row>30</xdr:row>
      <xdr:rowOff>15689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FEBE43C-48E5-434A-9B39-4CC518D48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esktop-dh765o1\&#50868;&#50689;&#48376;&#48512;%20&#44305;&#44256;&#51452;\&#45208;&#46972;&#54168;&#51060;&amp;&#54168;&#51060;&#54028;&#46976;\&#48372;&#44256;&#49436;\&#51452;&#44036;&#47532;&#54252;&#53944;\(&#50528;&#46300;&#54588;&#46356;)%20&#45208;&#46972;&#54168;&#51060;_Weekly%20Report_24&#45380;%205&#50900;%201&#51452;&#52264;.xlsx" TargetMode="External"/><Relationship Id="rId1" Type="http://schemas.openxmlformats.org/officeDocument/2006/relationships/externalLinkPath" Target="file:///\\Desktop-dh765o1\&#50868;&#50689;&#48376;&#48512;%20&#44305;&#44256;&#51452;\&#45208;&#46972;&#54168;&#51060;&amp;&#54168;&#51060;&#54028;&#46976;\&#48372;&#44256;&#49436;\&#51452;&#44036;&#47532;&#54252;&#53944;\(&#50528;&#46300;&#54588;&#46356;)%20&#45208;&#46972;&#54168;&#51060;_Weekly%20Report_24&#45380;%205&#50900;%201&#51452;&#522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파워링크_Summary"/>
      <sheetName val="파워링크_상세데이터"/>
      <sheetName val="파워링크_PC키워드_주간"/>
      <sheetName val="파워링크_MO키워드_주간"/>
      <sheetName val="파워링크_소재별_주간"/>
      <sheetName val="파워링크 소재 RAW"/>
      <sheetName val="파워링크 RAW"/>
      <sheetName val="카카오_Summary"/>
      <sheetName val="카카오_상세데이터"/>
      <sheetName val="카카오_PC키워드_주간"/>
      <sheetName val="카카오_MO키워드_주간"/>
      <sheetName val="카카오 RAW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 t="str">
            <v>캠페인</v>
          </cell>
          <cell r="F1" t="str">
            <v>매체</v>
          </cell>
          <cell r="Q1" t="str">
            <v>구매수</v>
          </cell>
        </row>
        <row r="2">
          <cell r="D2" t="str">
            <v>나라페이 서브 파워링크(검색지면)</v>
          </cell>
          <cell r="F2" t="str">
            <v>파워링크</v>
          </cell>
          <cell r="Q2">
            <v>0</v>
          </cell>
        </row>
        <row r="3">
          <cell r="D3" t="str">
            <v>나라페이 메인 파워링크(검색지면)</v>
          </cell>
          <cell r="F3" t="str">
            <v>파워링크</v>
          </cell>
          <cell r="Q3">
            <v>0</v>
          </cell>
        </row>
        <row r="4">
          <cell r="D4" t="str">
            <v>나라페이 메인 파워링크(콘텐츠지면)</v>
          </cell>
          <cell r="F4" t="str">
            <v>파워링크</v>
          </cell>
          <cell r="Q4">
            <v>0</v>
          </cell>
        </row>
        <row r="5">
          <cell r="D5" t="str">
            <v>나라페이 서브 파워링크(콘텐츠지면)</v>
          </cell>
          <cell r="F5" t="str">
            <v>파워링크</v>
          </cell>
          <cell r="Q5">
            <v>0</v>
          </cell>
        </row>
        <row r="6">
          <cell r="D6" t="str">
            <v>나라페이 파워컨텐츠</v>
          </cell>
          <cell r="F6" t="str">
            <v>파워컨텐츠</v>
          </cell>
          <cell r="Q6">
            <v>0</v>
          </cell>
        </row>
        <row r="7">
          <cell r="D7" t="str">
            <v>나라페이 서브 파워링크(검색지면)</v>
          </cell>
          <cell r="F7" t="str">
            <v>파워링크</v>
          </cell>
          <cell r="Q7">
            <v>0</v>
          </cell>
        </row>
        <row r="8">
          <cell r="D8" t="str">
            <v>나라페이 메인 파워링크(검색지면)</v>
          </cell>
          <cell r="F8" t="str">
            <v>파워링크</v>
          </cell>
          <cell r="Q8">
            <v>0</v>
          </cell>
        </row>
        <row r="9">
          <cell r="D9" t="str">
            <v>나라페이 메인 파워링크(콘텐츠지면)</v>
          </cell>
          <cell r="F9" t="str">
            <v>파워링크</v>
          </cell>
          <cell r="Q9">
            <v>0</v>
          </cell>
        </row>
        <row r="10">
          <cell r="D10" t="str">
            <v>나라페이 서브 파워링크(콘텐츠지면)</v>
          </cell>
          <cell r="F10" t="str">
            <v>파워링크</v>
          </cell>
          <cell r="Q10">
            <v>0</v>
          </cell>
        </row>
        <row r="11">
          <cell r="D11" t="str">
            <v>나라페이 파워컨텐츠</v>
          </cell>
          <cell r="F11" t="str">
            <v>파워컨텐츠</v>
          </cell>
          <cell r="Q11">
            <v>0</v>
          </cell>
        </row>
        <row r="12">
          <cell r="D12" t="str">
            <v>나라페이 서브 파워링크(검색지면)</v>
          </cell>
          <cell r="F12" t="str">
            <v>파워링크</v>
          </cell>
          <cell r="Q12">
            <v>0</v>
          </cell>
        </row>
        <row r="13">
          <cell r="D13" t="str">
            <v>나라페이 메인 파워링크(검색지면)</v>
          </cell>
          <cell r="F13" t="str">
            <v>파워링크</v>
          </cell>
          <cell r="Q13">
            <v>0</v>
          </cell>
        </row>
        <row r="14">
          <cell r="D14" t="str">
            <v>나라페이 메인 파워링크(콘텐츠지면)</v>
          </cell>
          <cell r="F14" t="str">
            <v>파워링크</v>
          </cell>
          <cell r="Q14">
            <v>0</v>
          </cell>
        </row>
        <row r="15">
          <cell r="D15" t="str">
            <v>나라페이 서브 파워링크(콘텐츠지면)</v>
          </cell>
          <cell r="F15" t="str">
            <v>파워링크</v>
          </cell>
          <cell r="Q15">
            <v>0</v>
          </cell>
        </row>
        <row r="16">
          <cell r="D16" t="str">
            <v>나라페이 파워컨텐츠</v>
          </cell>
          <cell r="F16" t="str">
            <v>파워컨텐츠</v>
          </cell>
          <cell r="Q16">
            <v>0</v>
          </cell>
        </row>
        <row r="17">
          <cell r="D17" t="str">
            <v>나라페이 서브 파워링크(검색지면)</v>
          </cell>
          <cell r="F17" t="str">
            <v>파워링크</v>
          </cell>
          <cell r="Q17">
            <v>0</v>
          </cell>
        </row>
        <row r="18">
          <cell r="D18" t="str">
            <v>나라페이 메인 파워링크(검색지면)</v>
          </cell>
          <cell r="F18" t="str">
            <v>파워링크</v>
          </cell>
          <cell r="Q18">
            <v>0</v>
          </cell>
        </row>
        <row r="19">
          <cell r="D19" t="str">
            <v>나라페이 메인 파워링크(콘텐츠지면)</v>
          </cell>
          <cell r="F19" t="str">
            <v>파워링크</v>
          </cell>
          <cell r="Q19">
            <v>0</v>
          </cell>
        </row>
        <row r="20">
          <cell r="D20" t="str">
            <v>나라페이 서브 파워링크(콘텐츠지면)</v>
          </cell>
          <cell r="F20" t="str">
            <v>파워링크</v>
          </cell>
          <cell r="Q20">
            <v>0</v>
          </cell>
        </row>
        <row r="21">
          <cell r="D21" t="str">
            <v>나라페이 파워컨텐츠</v>
          </cell>
          <cell r="F21" t="str">
            <v>파워컨텐츠</v>
          </cell>
          <cell r="Q21">
            <v>0</v>
          </cell>
        </row>
        <row r="22">
          <cell r="D22" t="str">
            <v>나라페이 서브 파워링크(검색지면)</v>
          </cell>
          <cell r="F22" t="str">
            <v>파워링크</v>
          </cell>
          <cell r="Q22">
            <v>0</v>
          </cell>
        </row>
        <row r="23">
          <cell r="D23" t="str">
            <v>나라페이 메인 파워링크(검색지면)</v>
          </cell>
          <cell r="F23" t="str">
            <v>파워링크</v>
          </cell>
          <cell r="Q23">
            <v>0</v>
          </cell>
        </row>
        <row r="24">
          <cell r="D24" t="str">
            <v>나라페이 파워컨텐츠</v>
          </cell>
          <cell r="F24" t="str">
            <v>파워컨텐츠</v>
          </cell>
          <cell r="Q24">
            <v>0</v>
          </cell>
        </row>
        <row r="25">
          <cell r="D25" t="str">
            <v>나라페이 서브 파워링크(검색지면)</v>
          </cell>
          <cell r="F25" t="str">
            <v>파워링크</v>
          </cell>
          <cell r="Q25">
            <v>0</v>
          </cell>
        </row>
        <row r="26">
          <cell r="D26" t="str">
            <v>나라페이 메인 파워링크(검색지면)</v>
          </cell>
          <cell r="F26" t="str">
            <v>파워링크</v>
          </cell>
          <cell r="Q26">
            <v>0</v>
          </cell>
        </row>
        <row r="27">
          <cell r="D27" t="str">
            <v>나라페이 파워컨텐츠</v>
          </cell>
          <cell r="F27" t="str">
            <v>파워컨텐츠</v>
          </cell>
          <cell r="Q27">
            <v>0</v>
          </cell>
        </row>
        <row r="28">
          <cell r="D28" t="str">
            <v>나라페이 메인 파워링크(검색지면)</v>
          </cell>
          <cell r="F28" t="str">
            <v>파워링크</v>
          </cell>
          <cell r="Q28">
            <v>0</v>
          </cell>
        </row>
        <row r="29">
          <cell r="D29" t="str">
            <v>나라페이 파워컨텐츠</v>
          </cell>
          <cell r="F29" t="str">
            <v>파워컨텐츠</v>
          </cell>
          <cell r="Q29">
            <v>0</v>
          </cell>
        </row>
        <row r="30">
          <cell r="D30" t="str">
            <v>나라페이 메인 파워링크(검색지면)</v>
          </cell>
          <cell r="F30" t="str">
            <v>파워링크</v>
          </cell>
          <cell r="Q30">
            <v>0</v>
          </cell>
        </row>
        <row r="31">
          <cell r="D31" t="str">
            <v>나라페이 파워컨텐츠</v>
          </cell>
          <cell r="F31" t="str">
            <v>파워컨텐츠</v>
          </cell>
          <cell r="Q31">
            <v>0</v>
          </cell>
        </row>
        <row r="32">
          <cell r="D32" t="str">
            <v>나라페이 메인 파워링크(검색지면)</v>
          </cell>
          <cell r="F32" t="str">
            <v>파워링크</v>
          </cell>
          <cell r="Q32">
            <v>0</v>
          </cell>
        </row>
        <row r="33">
          <cell r="D33" t="str">
            <v>나라페이 파워컨텐츠</v>
          </cell>
          <cell r="F33" t="str">
            <v>파워컨텐츠</v>
          </cell>
          <cell r="Q33">
            <v>0</v>
          </cell>
        </row>
        <row r="34">
          <cell r="D34" t="str">
            <v>나라페이 메인 파워링크(검색지면)</v>
          </cell>
          <cell r="F34" t="str">
            <v>파워링크</v>
          </cell>
          <cell r="Q34">
            <v>0</v>
          </cell>
        </row>
        <row r="35">
          <cell r="D35" t="str">
            <v>나라페이 파워컨텐츠</v>
          </cell>
          <cell r="F35" t="str">
            <v>파워컨텐츠</v>
          </cell>
          <cell r="Q35">
            <v>0</v>
          </cell>
        </row>
        <row r="36">
          <cell r="D36" t="str">
            <v>나라페이 서브 파워링크(검색지면)</v>
          </cell>
          <cell r="F36" t="str">
            <v>파워링크</v>
          </cell>
          <cell r="Q36">
            <v>0</v>
          </cell>
        </row>
        <row r="37">
          <cell r="D37" t="str">
            <v>나라페이 메인 파워링크(검색지면)</v>
          </cell>
          <cell r="F37" t="str">
            <v>파워링크</v>
          </cell>
          <cell r="Q37">
            <v>0</v>
          </cell>
        </row>
        <row r="38">
          <cell r="D38" t="str">
            <v>나라페이 파워컨텐츠</v>
          </cell>
          <cell r="F38" t="str">
            <v>파워컨텐츠</v>
          </cell>
          <cell r="Q38">
            <v>0</v>
          </cell>
        </row>
        <row r="39">
          <cell r="D39" t="str">
            <v>나라페이 서브 파워링크(검색지면)</v>
          </cell>
          <cell r="F39" t="str">
            <v>파워링크</v>
          </cell>
          <cell r="Q39">
            <v>0</v>
          </cell>
        </row>
        <row r="40">
          <cell r="D40" t="str">
            <v>나라페이 메인 파워링크(검색지면)</v>
          </cell>
          <cell r="F40" t="str">
            <v>파워링크</v>
          </cell>
          <cell r="Q40">
            <v>0</v>
          </cell>
        </row>
        <row r="41">
          <cell r="D41" t="str">
            <v>나라페이 파워컨텐츠</v>
          </cell>
          <cell r="F41" t="str">
            <v>파워컨텐츠</v>
          </cell>
          <cell r="Q41">
            <v>0</v>
          </cell>
        </row>
        <row r="42">
          <cell r="D42" t="str">
            <v>나라페이 서브 파워링크(검색지면)</v>
          </cell>
          <cell r="F42" t="str">
            <v>파워링크</v>
          </cell>
          <cell r="Q42">
            <v>0</v>
          </cell>
        </row>
        <row r="43">
          <cell r="D43" t="str">
            <v>나라페이 메인 파워링크(검색지면)</v>
          </cell>
          <cell r="F43" t="str">
            <v>파워링크</v>
          </cell>
          <cell r="Q43">
            <v>0</v>
          </cell>
        </row>
        <row r="44">
          <cell r="D44" t="str">
            <v>나라페이 파워컨텐츠</v>
          </cell>
          <cell r="F44" t="str">
            <v>파워컨텐츠</v>
          </cell>
          <cell r="Q44">
            <v>0</v>
          </cell>
        </row>
        <row r="45">
          <cell r="D45" t="str">
            <v>나라페이 서브 파워링크(검색지면)</v>
          </cell>
          <cell r="F45" t="str">
            <v>파워링크</v>
          </cell>
          <cell r="Q45">
            <v>0</v>
          </cell>
        </row>
        <row r="46">
          <cell r="D46" t="str">
            <v>나라페이 메인 파워링크(검색지면)</v>
          </cell>
          <cell r="F46" t="str">
            <v>파워링크</v>
          </cell>
          <cell r="Q46">
            <v>0</v>
          </cell>
        </row>
        <row r="47">
          <cell r="D47" t="str">
            <v>나라페이 파워컨텐츠</v>
          </cell>
          <cell r="F47" t="str">
            <v>파워컨텐츠</v>
          </cell>
          <cell r="Q47">
            <v>0</v>
          </cell>
        </row>
        <row r="48">
          <cell r="D48" t="str">
            <v>나라페이 서브 파워링크(검색지면)</v>
          </cell>
          <cell r="F48" t="str">
            <v>파워링크</v>
          </cell>
          <cell r="Q48">
            <v>0</v>
          </cell>
        </row>
        <row r="49">
          <cell r="D49" t="str">
            <v>나라페이 메인 파워링크(검색지면)</v>
          </cell>
          <cell r="F49" t="str">
            <v>파워링크</v>
          </cell>
          <cell r="Q49">
            <v>0</v>
          </cell>
        </row>
        <row r="50">
          <cell r="D50" t="str">
            <v>나라페이 파워컨텐츠</v>
          </cell>
          <cell r="F50" t="str">
            <v>파워컨텐츠</v>
          </cell>
          <cell r="Q50">
            <v>0</v>
          </cell>
        </row>
        <row r="51">
          <cell r="D51" t="str">
            <v>나라페이 서브 파워링크(검색지면)</v>
          </cell>
          <cell r="F51" t="str">
            <v>파워링크</v>
          </cell>
          <cell r="Q51">
            <v>0</v>
          </cell>
        </row>
        <row r="52">
          <cell r="D52" t="str">
            <v>나라페이 메인 파워링크(검색지면)</v>
          </cell>
          <cell r="F52" t="str">
            <v>파워링크</v>
          </cell>
          <cell r="Q52">
            <v>0</v>
          </cell>
        </row>
        <row r="53">
          <cell r="D53" t="str">
            <v>나라페이 파워컨텐츠</v>
          </cell>
          <cell r="F53" t="str">
            <v>파워컨텐츠</v>
          </cell>
          <cell r="Q53">
            <v>0</v>
          </cell>
        </row>
      </sheetData>
      <sheetData sheetId="7">
        <row r="52">
          <cell r="E52" t="str">
            <v>CTR</v>
          </cell>
        </row>
      </sheetData>
      <sheetData sheetId="8"/>
      <sheetData sheetId="9"/>
      <sheetData sheetId="10"/>
      <sheetData sheetId="11">
        <row r="1">
          <cell r="A1" t="str">
            <v>일자</v>
          </cell>
          <cell r="D1" t="str">
            <v>캠페인</v>
          </cell>
          <cell r="F1" t="str">
            <v>매체</v>
          </cell>
          <cell r="N1" t="str">
            <v>노출</v>
          </cell>
          <cell r="O1" t="str">
            <v>클릭</v>
          </cell>
          <cell r="P1" t="str">
            <v>광고비</v>
          </cell>
        </row>
        <row r="2">
          <cell r="D2" t="str">
            <v>나라페이</v>
          </cell>
          <cell r="F2" t="str">
            <v>프리미엄링크</v>
          </cell>
          <cell r="N2">
            <v>24839</v>
          </cell>
          <cell r="O2">
            <v>62</v>
          </cell>
          <cell r="P2">
            <v>8080</v>
          </cell>
        </row>
        <row r="3">
          <cell r="D3" t="str">
            <v>나라페이</v>
          </cell>
          <cell r="F3" t="str">
            <v>프리미엄링크</v>
          </cell>
          <cell r="N3">
            <v>1023</v>
          </cell>
          <cell r="O3">
            <v>2</v>
          </cell>
          <cell r="P3">
            <v>140</v>
          </cell>
        </row>
        <row r="4">
          <cell r="D4" t="str">
            <v>나라페이</v>
          </cell>
          <cell r="F4" t="str">
            <v>프리미엄링크</v>
          </cell>
          <cell r="N4">
            <v>32540</v>
          </cell>
          <cell r="O4">
            <v>63</v>
          </cell>
          <cell r="P4">
            <v>6540</v>
          </cell>
        </row>
        <row r="5">
          <cell r="D5" t="str">
            <v>나라페이</v>
          </cell>
          <cell r="F5" t="str">
            <v>프리미엄링크</v>
          </cell>
          <cell r="N5">
            <v>2169</v>
          </cell>
          <cell r="O5">
            <v>6</v>
          </cell>
          <cell r="P5">
            <v>420</v>
          </cell>
        </row>
        <row r="6">
          <cell r="D6" t="str">
            <v>나라페이</v>
          </cell>
          <cell r="F6" t="str">
            <v>프리미엄링크</v>
          </cell>
          <cell r="N6">
            <v>41577</v>
          </cell>
          <cell r="O6">
            <v>81</v>
          </cell>
          <cell r="P6">
            <v>6210</v>
          </cell>
        </row>
        <row r="7">
          <cell r="D7" t="str">
            <v>나라페이</v>
          </cell>
          <cell r="F7" t="str">
            <v>프리미엄링크</v>
          </cell>
          <cell r="N7">
            <v>3446</v>
          </cell>
          <cell r="O7">
            <v>10</v>
          </cell>
          <cell r="P7">
            <v>700</v>
          </cell>
        </row>
        <row r="8">
          <cell r="D8" t="str">
            <v>나라페이</v>
          </cell>
          <cell r="F8" t="str">
            <v>프리미엄링크</v>
          </cell>
          <cell r="N8">
            <v>4</v>
          </cell>
          <cell r="O8">
            <v>0</v>
          </cell>
          <cell r="P8">
            <v>0</v>
          </cell>
        </row>
        <row r="9">
          <cell r="D9" t="str">
            <v>나라페이</v>
          </cell>
          <cell r="F9" t="str">
            <v>프리미엄링크</v>
          </cell>
          <cell r="N9">
            <v>13</v>
          </cell>
          <cell r="O9">
            <v>0</v>
          </cell>
          <cell r="P9">
            <v>0</v>
          </cell>
        </row>
        <row r="10">
          <cell r="D10" t="str">
            <v>나라페이</v>
          </cell>
          <cell r="F10" t="str">
            <v>프리미엄링크</v>
          </cell>
          <cell r="N10">
            <v>8</v>
          </cell>
          <cell r="O10">
            <v>0</v>
          </cell>
          <cell r="P10">
            <v>0</v>
          </cell>
        </row>
        <row r="11">
          <cell r="D11" t="str">
            <v>나라페이</v>
          </cell>
          <cell r="F11" t="str">
            <v>프리미엄링크</v>
          </cell>
          <cell r="N11">
            <v>17</v>
          </cell>
          <cell r="O11">
            <v>0</v>
          </cell>
          <cell r="P11">
            <v>0</v>
          </cell>
        </row>
        <row r="12">
          <cell r="D12" t="str">
            <v>나라페이</v>
          </cell>
          <cell r="F12" t="str">
            <v>프리미엄링크</v>
          </cell>
          <cell r="N12">
            <v>37759</v>
          </cell>
          <cell r="O12">
            <v>76</v>
          </cell>
          <cell r="P12">
            <v>5880</v>
          </cell>
        </row>
        <row r="13">
          <cell r="D13" t="str">
            <v>나라페이</v>
          </cell>
          <cell r="F13" t="str">
            <v>프리미엄링크</v>
          </cell>
          <cell r="N13">
            <v>3579</v>
          </cell>
          <cell r="O13">
            <v>7</v>
          </cell>
          <cell r="P13">
            <v>490</v>
          </cell>
        </row>
        <row r="14">
          <cell r="D14" t="str">
            <v>나라페이</v>
          </cell>
          <cell r="F14" t="str">
            <v>프리미엄링크</v>
          </cell>
          <cell r="N14">
            <v>43172</v>
          </cell>
          <cell r="O14">
            <v>81</v>
          </cell>
          <cell r="P14">
            <v>6200</v>
          </cell>
        </row>
        <row r="15">
          <cell r="D15" t="str">
            <v>나라페이</v>
          </cell>
          <cell r="F15" t="str">
            <v>프리미엄링크</v>
          </cell>
          <cell r="N15">
            <v>7672</v>
          </cell>
          <cell r="O15">
            <v>12</v>
          </cell>
          <cell r="P15">
            <v>840</v>
          </cell>
        </row>
        <row r="16">
          <cell r="D16" t="str">
            <v>나라페이</v>
          </cell>
          <cell r="F16" t="str">
            <v>프리미엄링크</v>
          </cell>
          <cell r="N16">
            <v>44270</v>
          </cell>
          <cell r="O16">
            <v>73</v>
          </cell>
          <cell r="P16">
            <v>5640</v>
          </cell>
        </row>
        <row r="17">
          <cell r="D17" t="str">
            <v>나라페이</v>
          </cell>
          <cell r="F17" t="str">
            <v>프리미엄링크</v>
          </cell>
          <cell r="N17">
            <v>5773</v>
          </cell>
          <cell r="O17">
            <v>14</v>
          </cell>
          <cell r="P17">
            <v>2280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 tint="0.39997558519241921"/>
  </sheetPr>
  <dimension ref="B1:V105"/>
  <sheetViews>
    <sheetView showGridLines="0" tabSelected="1" zoomScale="85" zoomScaleNormal="85" workbookViewId="0">
      <pane ySplit="5" topLeftCell="A6" activePane="bottomLeft" state="frozen"/>
      <selection pane="bottomLeft"/>
    </sheetView>
  </sheetViews>
  <sheetFormatPr defaultColWidth="11.625" defaultRowHeight="13.5"/>
  <cols>
    <col min="1" max="1" width="2.625" style="24" customWidth="1"/>
    <col min="2" max="2" width="28.25" style="24" customWidth="1"/>
    <col min="3" max="10" width="11.625" style="24" customWidth="1"/>
    <col min="11" max="16384" width="11.625" style="24"/>
  </cols>
  <sheetData>
    <row r="1" spans="2:22" s="1" customFormat="1"/>
    <row r="2" spans="2:22" s="1" customFormat="1" ht="32.25" customHeight="1" thickBot="1">
      <c r="B2" s="218" t="s">
        <v>28</v>
      </c>
      <c r="C2" s="218"/>
      <c r="D2" s="218"/>
      <c r="E2" s="218"/>
      <c r="F2" s="218"/>
      <c r="G2" s="218"/>
      <c r="H2" s="218"/>
      <c r="I2" s="218"/>
      <c r="J2" s="218"/>
    </row>
    <row r="3" spans="2:22" s="1" customFormat="1" ht="14.25" hidden="1" thickTop="1"/>
    <row r="4" spans="2:22" s="84" customFormat="1" ht="33" hidden="1">
      <c r="B4" s="147" t="s">
        <v>656</v>
      </c>
      <c r="C4" s="149" t="s">
        <v>2</v>
      </c>
      <c r="D4" s="149" t="s">
        <v>4</v>
      </c>
      <c r="E4" s="147" t="s">
        <v>60</v>
      </c>
      <c r="F4" s="147" t="s">
        <v>45</v>
      </c>
    </row>
    <row r="5" spans="2:22" s="84" customFormat="1" ht="16.5" hidden="1">
      <c r="B5" s="148" t="s">
        <v>5</v>
      </c>
      <c r="C5" s="86">
        <f>C68</f>
        <v>16756</v>
      </c>
      <c r="D5" s="86">
        <f>D68</f>
        <v>451</v>
      </c>
      <c r="E5" s="86">
        <f>G68</f>
        <v>2896949</v>
      </c>
      <c r="F5" s="86">
        <f>H68</f>
        <v>94</v>
      </c>
    </row>
    <row r="6" spans="2:22" s="1" customFormat="1" ht="14.25" thickTop="1">
      <c r="B6" s="43"/>
    </row>
    <row r="7" spans="2:22" s="1" customFormat="1">
      <c r="B7" s="5" t="s">
        <v>6</v>
      </c>
      <c r="L7" s="5" t="s">
        <v>162</v>
      </c>
    </row>
    <row r="8" spans="2:22" s="1" customFormat="1" ht="5.25" customHeight="1" thickBot="1">
      <c r="B8" s="5"/>
    </row>
    <row r="9" spans="2:22" s="1" customFormat="1" ht="13.5" customHeight="1">
      <c r="B9" s="5"/>
      <c r="K9" s="41"/>
      <c r="L9" s="209" t="s">
        <v>777</v>
      </c>
      <c r="M9" s="210"/>
      <c r="N9" s="210"/>
      <c r="O9" s="210"/>
      <c r="P9" s="210"/>
      <c r="Q9" s="210"/>
      <c r="R9" s="210"/>
      <c r="S9" s="210"/>
      <c r="T9" s="210"/>
      <c r="U9" s="210"/>
      <c r="V9" s="211"/>
    </row>
    <row r="10" spans="2:22" s="1" customFormat="1" ht="13.5" customHeight="1">
      <c r="B10" s="5"/>
      <c r="K10" s="41"/>
      <c r="L10" s="212"/>
      <c r="M10" s="213"/>
      <c r="N10" s="213"/>
      <c r="O10" s="213"/>
      <c r="P10" s="213"/>
      <c r="Q10" s="213"/>
      <c r="R10" s="213"/>
      <c r="S10" s="213"/>
      <c r="T10" s="213"/>
      <c r="U10" s="213"/>
      <c r="V10" s="214"/>
    </row>
    <row r="11" spans="2:22" s="1" customFormat="1" ht="13.5" customHeight="1">
      <c r="B11" s="5"/>
      <c r="K11" s="41"/>
      <c r="L11" s="212"/>
      <c r="M11" s="213"/>
      <c r="N11" s="213"/>
      <c r="O11" s="213"/>
      <c r="P11" s="213"/>
      <c r="Q11" s="213"/>
      <c r="R11" s="213"/>
      <c r="S11" s="213"/>
      <c r="T11" s="213"/>
      <c r="U11" s="213"/>
      <c r="V11" s="214"/>
    </row>
    <row r="12" spans="2:22" s="1" customFormat="1" ht="13.5" customHeight="1">
      <c r="B12" s="5"/>
      <c r="K12" s="41"/>
      <c r="L12" s="212"/>
      <c r="M12" s="213"/>
      <c r="N12" s="213"/>
      <c r="O12" s="213"/>
      <c r="P12" s="213"/>
      <c r="Q12" s="213"/>
      <c r="R12" s="213"/>
      <c r="S12" s="213"/>
      <c r="T12" s="213"/>
      <c r="U12" s="213"/>
      <c r="V12" s="214"/>
    </row>
    <row r="13" spans="2:22" s="1" customFormat="1" ht="13.5" customHeight="1">
      <c r="B13" s="5"/>
      <c r="K13" s="41"/>
      <c r="L13" s="212"/>
      <c r="M13" s="213"/>
      <c r="N13" s="213"/>
      <c r="O13" s="213"/>
      <c r="P13" s="213"/>
      <c r="Q13" s="213"/>
      <c r="R13" s="213"/>
      <c r="S13" s="213"/>
      <c r="T13" s="213"/>
      <c r="U13" s="213"/>
      <c r="V13" s="214"/>
    </row>
    <row r="14" spans="2:22" s="1" customFormat="1" ht="13.5" customHeight="1">
      <c r="L14" s="212"/>
      <c r="M14" s="213"/>
      <c r="N14" s="213"/>
      <c r="O14" s="213"/>
      <c r="P14" s="213"/>
      <c r="Q14" s="213"/>
      <c r="R14" s="213"/>
      <c r="S14" s="213"/>
      <c r="T14" s="213"/>
      <c r="U14" s="213"/>
      <c r="V14" s="214"/>
    </row>
    <row r="15" spans="2:22" s="1" customFormat="1" ht="13.5" customHeight="1">
      <c r="K15" s="41"/>
      <c r="L15" s="212"/>
      <c r="M15" s="213"/>
      <c r="N15" s="213"/>
      <c r="O15" s="213"/>
      <c r="P15" s="213"/>
      <c r="Q15" s="213"/>
      <c r="R15" s="213"/>
      <c r="S15" s="213"/>
      <c r="T15" s="213"/>
      <c r="U15" s="213"/>
      <c r="V15" s="214"/>
    </row>
    <row r="16" spans="2:22" s="1" customFormat="1" ht="13.5" customHeight="1">
      <c r="K16" s="41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4"/>
    </row>
    <row r="17" spans="2:22" s="1" customFormat="1" ht="13.5" customHeight="1">
      <c r="K17" s="41"/>
      <c r="L17" s="212"/>
      <c r="M17" s="213"/>
      <c r="N17" s="213"/>
      <c r="O17" s="213"/>
      <c r="P17" s="213"/>
      <c r="Q17" s="213"/>
      <c r="R17" s="213"/>
      <c r="S17" s="213"/>
      <c r="T17" s="213"/>
      <c r="U17" s="213"/>
      <c r="V17" s="214"/>
    </row>
    <row r="18" spans="2:22" s="1" customFormat="1" ht="13.5" customHeight="1">
      <c r="K18" s="41"/>
      <c r="L18" s="212"/>
      <c r="M18" s="213"/>
      <c r="N18" s="213"/>
      <c r="O18" s="213"/>
      <c r="P18" s="213"/>
      <c r="Q18" s="213"/>
      <c r="R18" s="213"/>
      <c r="S18" s="213"/>
      <c r="T18" s="213"/>
      <c r="U18" s="213"/>
      <c r="V18" s="214"/>
    </row>
    <row r="19" spans="2:22" s="1" customFormat="1" ht="13.5" customHeight="1">
      <c r="K19" s="41"/>
      <c r="L19" s="212"/>
      <c r="M19" s="213"/>
      <c r="N19" s="213"/>
      <c r="O19" s="213"/>
      <c r="P19" s="213"/>
      <c r="Q19" s="213"/>
      <c r="R19" s="213"/>
      <c r="S19" s="213"/>
      <c r="T19" s="213"/>
      <c r="U19" s="213"/>
      <c r="V19" s="214"/>
    </row>
    <row r="20" spans="2:22" s="1" customFormat="1" ht="13.5" customHeight="1">
      <c r="K20" s="41"/>
      <c r="L20" s="212"/>
      <c r="M20" s="213"/>
      <c r="N20" s="213"/>
      <c r="O20" s="213"/>
      <c r="P20" s="213"/>
      <c r="Q20" s="213"/>
      <c r="R20" s="213"/>
      <c r="S20" s="213"/>
      <c r="T20" s="213"/>
      <c r="U20" s="213"/>
      <c r="V20" s="214"/>
    </row>
    <row r="21" spans="2:22" s="1" customFormat="1" ht="13.5" customHeight="1">
      <c r="K21" s="41"/>
      <c r="L21" s="212"/>
      <c r="M21" s="213"/>
      <c r="N21" s="213"/>
      <c r="O21" s="213"/>
      <c r="P21" s="213"/>
      <c r="Q21" s="213"/>
      <c r="R21" s="213"/>
      <c r="S21" s="213"/>
      <c r="T21" s="213"/>
      <c r="U21" s="213"/>
      <c r="V21" s="214"/>
    </row>
    <row r="22" spans="2:22" s="1" customFormat="1" ht="13.5" customHeight="1">
      <c r="K22" s="41"/>
      <c r="L22" s="212"/>
      <c r="M22" s="213"/>
      <c r="N22" s="213"/>
      <c r="O22" s="213"/>
      <c r="P22" s="213"/>
      <c r="Q22" s="213"/>
      <c r="R22" s="213"/>
      <c r="S22" s="213"/>
      <c r="T22" s="213"/>
      <c r="U22" s="213"/>
      <c r="V22" s="214"/>
    </row>
    <row r="23" spans="2:22" s="1" customFormat="1" ht="13.5" customHeight="1">
      <c r="K23" s="41"/>
      <c r="L23" s="212"/>
      <c r="M23" s="213"/>
      <c r="N23" s="213"/>
      <c r="O23" s="213"/>
      <c r="P23" s="213"/>
      <c r="Q23" s="213"/>
      <c r="R23" s="213"/>
      <c r="S23" s="213"/>
      <c r="T23" s="213"/>
      <c r="U23" s="213"/>
      <c r="V23" s="214"/>
    </row>
    <row r="24" spans="2:22" s="1" customFormat="1" ht="13.5" customHeight="1">
      <c r="K24" s="41"/>
      <c r="L24" s="212"/>
      <c r="M24" s="213"/>
      <c r="N24" s="213"/>
      <c r="O24" s="213"/>
      <c r="P24" s="213"/>
      <c r="Q24" s="213"/>
      <c r="R24" s="213"/>
      <c r="S24" s="213"/>
      <c r="T24" s="213"/>
      <c r="U24" s="213"/>
      <c r="V24" s="214"/>
    </row>
    <row r="25" spans="2:22" s="1" customFormat="1" ht="13.5" customHeight="1">
      <c r="K25" s="41"/>
      <c r="L25" s="212"/>
      <c r="M25" s="213"/>
      <c r="N25" s="213"/>
      <c r="O25" s="213"/>
      <c r="P25" s="213"/>
      <c r="Q25" s="213"/>
      <c r="R25" s="213"/>
      <c r="S25" s="213"/>
      <c r="T25" s="213"/>
      <c r="U25" s="213"/>
      <c r="V25" s="214"/>
    </row>
    <row r="26" spans="2:22" s="1" customFormat="1" ht="13.5" customHeight="1">
      <c r="K26" s="41"/>
      <c r="L26" s="212"/>
      <c r="M26" s="213"/>
      <c r="N26" s="213"/>
      <c r="O26" s="213"/>
      <c r="P26" s="213"/>
      <c r="Q26" s="213"/>
      <c r="R26" s="213"/>
      <c r="S26" s="213"/>
      <c r="T26" s="213"/>
      <c r="U26" s="213"/>
      <c r="V26" s="214"/>
    </row>
    <row r="27" spans="2:22" s="1" customFormat="1" ht="14.25" customHeight="1">
      <c r="K27" s="41"/>
      <c r="L27" s="212"/>
      <c r="M27" s="213"/>
      <c r="N27" s="213"/>
      <c r="O27" s="213"/>
      <c r="P27" s="213"/>
      <c r="Q27" s="213"/>
      <c r="R27" s="213"/>
      <c r="S27" s="213"/>
      <c r="T27" s="213"/>
      <c r="U27" s="213"/>
      <c r="V27" s="214"/>
    </row>
    <row r="28" spans="2:22" s="1" customFormat="1" ht="13.5" customHeight="1">
      <c r="L28" s="212"/>
      <c r="M28" s="213"/>
      <c r="N28" s="213"/>
      <c r="O28" s="213"/>
      <c r="P28" s="213"/>
      <c r="Q28" s="213"/>
      <c r="R28" s="213"/>
      <c r="S28" s="213"/>
      <c r="T28" s="213"/>
      <c r="U28" s="213"/>
      <c r="V28" s="214"/>
    </row>
    <row r="29" spans="2:22" s="1" customFormat="1" ht="13.5" customHeight="1">
      <c r="L29" s="212"/>
      <c r="M29" s="213"/>
      <c r="N29" s="213"/>
      <c r="O29" s="213"/>
      <c r="P29" s="213"/>
      <c r="Q29" s="213"/>
      <c r="R29" s="213"/>
      <c r="S29" s="213"/>
      <c r="T29" s="213"/>
      <c r="U29" s="213"/>
      <c r="V29" s="214"/>
    </row>
    <row r="30" spans="2:22" s="1" customFormat="1" ht="13.5" customHeight="1">
      <c r="L30" s="212"/>
      <c r="M30" s="213"/>
      <c r="N30" s="213"/>
      <c r="O30" s="213"/>
      <c r="P30" s="213"/>
      <c r="Q30" s="213"/>
      <c r="R30" s="213"/>
      <c r="S30" s="213"/>
      <c r="T30" s="213"/>
      <c r="U30" s="213"/>
      <c r="V30" s="214"/>
    </row>
    <row r="31" spans="2:22" s="1" customFormat="1" ht="13.5" customHeight="1">
      <c r="L31" s="212"/>
      <c r="M31" s="213"/>
      <c r="N31" s="213"/>
      <c r="O31" s="213"/>
      <c r="P31" s="213"/>
      <c r="Q31" s="213"/>
      <c r="R31" s="213"/>
      <c r="S31" s="213"/>
      <c r="T31" s="213"/>
      <c r="U31" s="213"/>
      <c r="V31" s="214"/>
    </row>
    <row r="32" spans="2:22" s="1" customFormat="1" ht="13.5" customHeight="1">
      <c r="B32" s="5" t="s">
        <v>696</v>
      </c>
      <c r="K32" s="33"/>
      <c r="L32" s="212"/>
      <c r="M32" s="213"/>
      <c r="N32" s="213"/>
      <c r="O32" s="213"/>
      <c r="P32" s="213"/>
      <c r="Q32" s="213"/>
      <c r="R32" s="213"/>
      <c r="S32" s="213"/>
      <c r="T32" s="213"/>
      <c r="U32" s="213"/>
      <c r="V32" s="214"/>
    </row>
    <row r="33" spans="2:22" s="1" customFormat="1" ht="13.5" customHeight="1">
      <c r="B33" s="204" t="s">
        <v>57</v>
      </c>
      <c r="C33" s="206" t="s">
        <v>8</v>
      </c>
      <c r="D33" s="206" t="s">
        <v>9</v>
      </c>
      <c r="E33" s="206" t="s">
        <v>58</v>
      </c>
      <c r="F33" s="206" t="s">
        <v>11</v>
      </c>
      <c r="G33" s="206" t="s">
        <v>12</v>
      </c>
      <c r="H33" s="207" t="s">
        <v>13</v>
      </c>
      <c r="I33" s="208"/>
      <c r="J33" s="208"/>
      <c r="K33" s="42"/>
      <c r="L33" s="212"/>
      <c r="M33" s="213"/>
      <c r="N33" s="213"/>
      <c r="O33" s="213"/>
      <c r="P33" s="213"/>
      <c r="Q33" s="213"/>
      <c r="R33" s="213"/>
      <c r="S33" s="213"/>
      <c r="T33" s="213"/>
      <c r="U33" s="213"/>
      <c r="V33" s="214"/>
    </row>
    <row r="34" spans="2:22" s="1" customFormat="1" ht="13.5" customHeight="1">
      <c r="B34" s="204"/>
      <c r="C34" s="206"/>
      <c r="D34" s="206"/>
      <c r="E34" s="206"/>
      <c r="F34" s="206"/>
      <c r="G34" s="206"/>
      <c r="H34" s="6" t="s">
        <v>43</v>
      </c>
      <c r="I34" s="7" t="s">
        <v>59</v>
      </c>
      <c r="J34" s="29" t="s">
        <v>44</v>
      </c>
      <c r="L34" s="212"/>
      <c r="M34" s="213"/>
      <c r="N34" s="213"/>
      <c r="O34" s="213"/>
      <c r="P34" s="213"/>
      <c r="Q34" s="213"/>
      <c r="R34" s="213"/>
      <c r="S34" s="213"/>
      <c r="T34" s="213"/>
      <c r="U34" s="213"/>
      <c r="V34" s="214"/>
    </row>
    <row r="35" spans="2:22" s="1" customFormat="1" ht="13.5" hidden="1" customHeight="1">
      <c r="B35" s="183" t="s">
        <v>691</v>
      </c>
      <c r="C35" s="184">
        <f>SUM(C69:C72)</f>
        <v>1947</v>
      </c>
      <c r="D35" s="184">
        <f>SUM(D69:D72)</f>
        <v>54</v>
      </c>
      <c r="E35" s="8">
        <f t="shared" ref="E35:E39" si="0">IFERROR(D35/C35,)</f>
        <v>2.7734976887519261E-2</v>
      </c>
      <c r="F35" s="2">
        <f t="shared" ref="F35:F39" si="1">IFERROR(G35/D35,0)</f>
        <v>6459.8518518518522</v>
      </c>
      <c r="G35" s="184">
        <f>SUM(G69:G72)</f>
        <v>348832</v>
      </c>
      <c r="H35" s="184">
        <f>SUM(H69:H72)</f>
        <v>11</v>
      </c>
      <c r="I35" s="8">
        <f>IFERROR(H35/D35,0)</f>
        <v>0.20370370370370369</v>
      </c>
      <c r="J35" s="2">
        <f>IFERROR(G35/H35,0)</f>
        <v>31712</v>
      </c>
      <c r="L35" s="212"/>
      <c r="M35" s="213"/>
      <c r="N35" s="213"/>
      <c r="O35" s="213"/>
      <c r="P35" s="213"/>
      <c r="Q35" s="213"/>
      <c r="R35" s="213"/>
      <c r="S35" s="213"/>
      <c r="T35" s="213"/>
      <c r="U35" s="213"/>
      <c r="V35" s="214"/>
    </row>
    <row r="36" spans="2:22" s="1" customFormat="1" ht="13.5" customHeight="1">
      <c r="B36" s="183" t="s">
        <v>705</v>
      </c>
      <c r="C36" s="184">
        <f>SUM(C73:C79)</f>
        <v>3644</v>
      </c>
      <c r="D36" s="184">
        <f>SUM(D73:D79)</f>
        <v>94</v>
      </c>
      <c r="E36" s="8">
        <f t="shared" si="0"/>
        <v>2.579582875960483E-2</v>
      </c>
      <c r="F36" s="3">
        <f t="shared" si="1"/>
        <v>7004.3085106382978</v>
      </c>
      <c r="G36" s="184">
        <f>SUM(G73:G79)</f>
        <v>658405</v>
      </c>
      <c r="H36" s="184">
        <f>SUM(H73:H79)</f>
        <v>16</v>
      </c>
      <c r="I36" s="8">
        <f>IFERROR(H36/D36,0)</f>
        <v>0.1702127659574468</v>
      </c>
      <c r="J36" s="2">
        <f>IFERROR(G36/H36,0)</f>
        <v>41150.3125</v>
      </c>
      <c r="L36" s="212"/>
      <c r="M36" s="213"/>
      <c r="N36" s="213"/>
      <c r="O36" s="213"/>
      <c r="P36" s="213"/>
      <c r="Q36" s="213"/>
      <c r="R36" s="213"/>
      <c r="S36" s="213"/>
      <c r="T36" s="213"/>
      <c r="U36" s="213"/>
      <c r="V36" s="214"/>
    </row>
    <row r="37" spans="2:22" s="1" customFormat="1" ht="13.5" customHeight="1">
      <c r="B37" s="183" t="s">
        <v>706</v>
      </c>
      <c r="C37" s="184">
        <f>SUM(C80:C86)</f>
        <v>3324</v>
      </c>
      <c r="D37" s="184">
        <f>SUM(D80:D86)</f>
        <v>77</v>
      </c>
      <c r="E37" s="8">
        <f t="shared" si="0"/>
        <v>2.3164861612515041E-2</v>
      </c>
      <c r="F37" s="3">
        <f>IFERROR(G37/D37,0)</f>
        <v>6209</v>
      </c>
      <c r="G37" s="184">
        <f>SUM(G80:G86)</f>
        <v>478093</v>
      </c>
      <c r="H37" s="184">
        <f>SUM(H80:H86)</f>
        <v>20</v>
      </c>
      <c r="I37" s="8">
        <f>IFERROR(H37/D37,0)</f>
        <v>0.25974025974025972</v>
      </c>
      <c r="J37" s="2">
        <f>IFERROR(G37/H37,0)</f>
        <v>23904.65</v>
      </c>
      <c r="L37" s="212"/>
      <c r="M37" s="213"/>
      <c r="N37" s="213"/>
      <c r="O37" s="213"/>
      <c r="P37" s="213"/>
      <c r="Q37" s="213"/>
      <c r="R37" s="213"/>
      <c r="S37" s="213"/>
      <c r="T37" s="213"/>
      <c r="U37" s="213"/>
      <c r="V37" s="214"/>
    </row>
    <row r="38" spans="2:22" s="1" customFormat="1" ht="13.5" customHeight="1">
      <c r="B38" s="183" t="s">
        <v>736</v>
      </c>
      <c r="C38" s="184">
        <f>SUM(C87:C93)</f>
        <v>4262</v>
      </c>
      <c r="D38" s="184">
        <f>SUM(D87:D93)</f>
        <v>103</v>
      </c>
      <c r="E38" s="8">
        <f t="shared" si="0"/>
        <v>2.4167057719380571E-2</v>
      </c>
      <c r="F38" s="3">
        <f t="shared" si="1"/>
        <v>6484.4466019417478</v>
      </c>
      <c r="G38" s="184">
        <f>SUM(G87:G93)</f>
        <v>667898</v>
      </c>
      <c r="H38" s="184">
        <f>SUM(H87:H93)</f>
        <v>18</v>
      </c>
      <c r="I38" s="8">
        <f>IFERROR(H38/D38,0)</f>
        <v>0.17475728155339806</v>
      </c>
      <c r="J38" s="2">
        <f>IFERROR(G38/H38,0)</f>
        <v>37105.444444444445</v>
      </c>
      <c r="K38" s="20"/>
      <c r="L38" s="212"/>
      <c r="M38" s="213"/>
      <c r="N38" s="213"/>
      <c r="O38" s="213"/>
      <c r="P38" s="213"/>
      <c r="Q38" s="213"/>
      <c r="R38" s="213"/>
      <c r="S38" s="213"/>
      <c r="T38" s="213"/>
      <c r="U38" s="213"/>
      <c r="V38" s="214"/>
    </row>
    <row r="39" spans="2:22" s="1" customFormat="1" ht="13.5" customHeight="1">
      <c r="B39" s="183" t="s">
        <v>756</v>
      </c>
      <c r="C39" s="184">
        <f>SUM(C94:C100)</f>
        <v>3579</v>
      </c>
      <c r="D39" s="184">
        <f>SUM(D94:D100)</f>
        <v>123</v>
      </c>
      <c r="E39" s="8">
        <f t="shared" si="0"/>
        <v>3.4367141659681473E-2</v>
      </c>
      <c r="F39" s="3">
        <f t="shared" si="1"/>
        <v>6046.5121951219517</v>
      </c>
      <c r="G39" s="184">
        <f>SUM(G94:G100)</f>
        <v>743721</v>
      </c>
      <c r="H39" s="184">
        <f>SUM(H94:H100)</f>
        <v>29</v>
      </c>
      <c r="I39" s="8">
        <f>IFERROR(H39/D39,0)</f>
        <v>0.23577235772357724</v>
      </c>
      <c r="J39" s="2">
        <f>IFERROR(G39/H39,0)</f>
        <v>25645.551724137931</v>
      </c>
      <c r="L39" s="212"/>
      <c r="M39" s="213"/>
      <c r="N39" s="213"/>
      <c r="O39" s="213"/>
      <c r="P39" s="213"/>
      <c r="Q39" s="213"/>
      <c r="R39" s="213"/>
      <c r="S39" s="213"/>
      <c r="T39" s="213"/>
      <c r="U39" s="213"/>
      <c r="V39" s="214"/>
    </row>
    <row r="40" spans="2:22" s="1" customFormat="1" ht="13.5" customHeight="1">
      <c r="B40" s="185" t="s">
        <v>16</v>
      </c>
      <c r="C40" s="30">
        <f>IFERROR(C39/C38-1,"-")</f>
        <v>-0.16025340215861095</v>
      </c>
      <c r="D40" s="30">
        <f t="shared" ref="D40:J40" si="2">IFERROR(D39/D38-1,"-")</f>
        <v>0.19417475728155331</v>
      </c>
      <c r="E40" s="30">
        <f t="shared" si="2"/>
        <v>0.42206560925788783</v>
      </c>
      <c r="F40" s="30">
        <f t="shared" si="2"/>
        <v>-6.7536126627776971E-2</v>
      </c>
      <c r="G40" s="30">
        <f t="shared" si="2"/>
        <v>0.11352481965809158</v>
      </c>
      <c r="H40" s="30">
        <f t="shared" si="2"/>
        <v>0.61111111111111116</v>
      </c>
      <c r="I40" s="30">
        <f t="shared" si="2"/>
        <v>0.34914182475158073</v>
      </c>
      <c r="J40" s="30">
        <f t="shared" si="2"/>
        <v>-0.30884666366049496</v>
      </c>
      <c r="L40" s="212"/>
      <c r="M40" s="213"/>
      <c r="N40" s="213"/>
      <c r="O40" s="213"/>
      <c r="P40" s="213"/>
      <c r="Q40" s="213"/>
      <c r="R40" s="213"/>
      <c r="S40" s="213"/>
      <c r="T40" s="213"/>
      <c r="U40" s="213"/>
      <c r="V40" s="214"/>
    </row>
    <row r="41" spans="2:22" s="1" customFormat="1" ht="14.25" customHeight="1" thickBot="1">
      <c r="B41" s="19"/>
      <c r="K41" s="20"/>
      <c r="L41" s="215"/>
      <c r="M41" s="216"/>
      <c r="N41" s="216"/>
      <c r="O41" s="216"/>
      <c r="P41" s="216"/>
      <c r="Q41" s="216"/>
      <c r="R41" s="216"/>
      <c r="S41" s="216"/>
      <c r="T41" s="216"/>
      <c r="U41" s="216"/>
      <c r="V41" s="217"/>
    </row>
    <row r="42" spans="2:22" s="1" customFormat="1" ht="13.5" customHeight="1">
      <c r="L42" s="1" t="s">
        <v>614</v>
      </c>
    </row>
    <row r="43" spans="2:22" s="1" customFormat="1" ht="13.5" customHeight="1">
      <c r="B43" s="5" t="s">
        <v>694</v>
      </c>
    </row>
    <row r="44" spans="2:22" s="1" customFormat="1" ht="13.5" customHeight="1">
      <c r="B44" s="204" t="s">
        <v>57</v>
      </c>
      <c r="C44" s="206" t="s">
        <v>8</v>
      </c>
      <c r="D44" s="206" t="s">
        <v>9</v>
      </c>
      <c r="E44" s="206" t="s">
        <v>58</v>
      </c>
      <c r="F44" s="206" t="s">
        <v>11</v>
      </c>
      <c r="G44" s="206" t="s">
        <v>12</v>
      </c>
      <c r="H44" s="207" t="s">
        <v>13</v>
      </c>
      <c r="I44" s="208"/>
      <c r="J44" s="208"/>
    </row>
    <row r="45" spans="2:22" s="1" customFormat="1" ht="13.5" customHeight="1">
      <c r="B45" s="205"/>
      <c r="C45" s="206"/>
      <c r="D45" s="206"/>
      <c r="E45" s="206"/>
      <c r="F45" s="206"/>
      <c r="G45" s="206"/>
      <c r="H45" s="6" t="s">
        <v>43</v>
      </c>
      <c r="I45" s="7" t="s">
        <v>59</v>
      </c>
      <c r="J45" s="29" t="s">
        <v>44</v>
      </c>
    </row>
    <row r="46" spans="2:22" s="1" customFormat="1" ht="13.5" hidden="1" customHeight="1">
      <c r="B46" s="183" t="s">
        <v>689</v>
      </c>
      <c r="C46" s="184">
        <f>SUM(C69:C70)</f>
        <v>1292</v>
      </c>
      <c r="D46" s="184">
        <f>SUM(D69:D70)</f>
        <v>40</v>
      </c>
      <c r="E46" s="8">
        <f t="shared" ref="E46:E50" si="3">IFERROR(D46/C46,)</f>
        <v>3.0959752321981424E-2</v>
      </c>
      <c r="F46" s="2">
        <f t="shared" ref="F46:F47" si="4">IFERROR(G46/D46,0)</f>
        <v>7267.7</v>
      </c>
      <c r="G46" s="184">
        <f>SUM(G69:G70)</f>
        <v>290708</v>
      </c>
      <c r="H46" s="184">
        <f>SUM(H69:H70)</f>
        <v>9</v>
      </c>
      <c r="I46" s="8">
        <f>IFERROR(H46/D46,0)</f>
        <v>0.22500000000000001</v>
      </c>
      <c r="J46" s="2">
        <f>IFERROR(G46/H46,0)</f>
        <v>32300.888888888891</v>
      </c>
    </row>
    <row r="47" spans="2:22" s="1" customFormat="1" ht="13.5" customHeight="1">
      <c r="B47" s="183" t="s">
        <v>707</v>
      </c>
      <c r="C47" s="184">
        <f>SUM(C73:C77)</f>
        <v>3087</v>
      </c>
      <c r="D47" s="184">
        <f>SUM(D73:D77)</f>
        <v>83</v>
      </c>
      <c r="E47" s="8">
        <f t="shared" si="3"/>
        <v>2.6886945254292194E-2</v>
      </c>
      <c r="F47" s="3">
        <f t="shared" si="4"/>
        <v>7300.8192771084341</v>
      </c>
      <c r="G47" s="184">
        <f>SUM(G73:G77)</f>
        <v>605968</v>
      </c>
      <c r="H47" s="184">
        <f>SUM(H73:H77)</f>
        <v>15</v>
      </c>
      <c r="I47" s="8">
        <f>IFERROR(H47/D47,0)</f>
        <v>0.18072289156626506</v>
      </c>
      <c r="J47" s="2">
        <f>IFERROR(G47/H47,0)</f>
        <v>40397.866666666669</v>
      </c>
    </row>
    <row r="48" spans="2:22" s="1" customFormat="1" ht="13.5" customHeight="1">
      <c r="B48" s="183" t="s">
        <v>706</v>
      </c>
      <c r="C48" s="184">
        <f>SUM(C80:C84)</f>
        <v>2650</v>
      </c>
      <c r="D48" s="184">
        <f>SUM(D80:D84)</f>
        <v>67</v>
      </c>
      <c r="E48" s="8">
        <f t="shared" si="3"/>
        <v>2.5283018867924528E-2</v>
      </c>
      <c r="F48" s="3">
        <f>IFERROR(G48/D48,0)</f>
        <v>6388.2089552238804</v>
      </c>
      <c r="G48" s="184">
        <f>SUM(G80:G84)</f>
        <v>428010</v>
      </c>
      <c r="H48" s="184">
        <f>SUM(H80:H84)</f>
        <v>14</v>
      </c>
      <c r="I48" s="8">
        <f>IFERROR(H48/D48,0)</f>
        <v>0.20895522388059701</v>
      </c>
      <c r="J48" s="2">
        <f>IFERROR(G48/H48,0)</f>
        <v>30572.142857142859</v>
      </c>
    </row>
    <row r="49" spans="2:10" s="1" customFormat="1" ht="13.5" customHeight="1">
      <c r="B49" s="183" t="s">
        <v>737</v>
      </c>
      <c r="C49" s="184">
        <f>SUM(C87:C91)</f>
        <v>3790</v>
      </c>
      <c r="D49" s="184">
        <f>SUM(D87:D91)</f>
        <v>94</v>
      </c>
      <c r="E49" s="8">
        <f t="shared" si="3"/>
        <v>2.4802110817941952E-2</v>
      </c>
      <c r="F49" s="3">
        <f t="shared" ref="F49:F50" si="5">IFERROR(G49/D49,0)</f>
        <v>6777.1702127659573</v>
      </c>
      <c r="G49" s="184">
        <f>SUM(G87:G91)</f>
        <v>637054</v>
      </c>
      <c r="H49" s="184">
        <f>SUM(H87:H91)</f>
        <v>17</v>
      </c>
      <c r="I49" s="8">
        <f>IFERROR(H49/D49,0)</f>
        <v>0.18085106382978725</v>
      </c>
      <c r="J49" s="2">
        <f>IFERROR(G49/H49,0)</f>
        <v>37473.76470588235</v>
      </c>
    </row>
    <row r="50" spans="2:10" s="1" customFormat="1" ht="13.5" customHeight="1">
      <c r="B50" s="183" t="s">
        <v>757</v>
      </c>
      <c r="C50" s="184">
        <f>SUM(C94:C98)</f>
        <v>3074</v>
      </c>
      <c r="D50" s="184">
        <f>SUM(D94:D98)</f>
        <v>110</v>
      </c>
      <c r="E50" s="8">
        <f t="shared" si="3"/>
        <v>3.5783994795055306E-2</v>
      </c>
      <c r="F50" s="3">
        <f t="shared" si="5"/>
        <v>6372.3</v>
      </c>
      <c r="G50" s="184">
        <f>SUM(G94:G98)</f>
        <v>700953</v>
      </c>
      <c r="H50" s="184">
        <f>SUM(H94:H98)</f>
        <v>27</v>
      </c>
      <c r="I50" s="8">
        <f>IFERROR(H50/D50,0)</f>
        <v>0.24545454545454545</v>
      </c>
      <c r="J50" s="2">
        <f>IFERROR(G50/H50,0)</f>
        <v>25961.222222222223</v>
      </c>
    </row>
    <row r="51" spans="2:10" s="1" customFormat="1" ht="13.5" customHeight="1">
      <c r="B51" s="185" t="s">
        <v>16</v>
      </c>
      <c r="C51" s="30">
        <f>IFERROR(C50/C49-1,"-")</f>
        <v>-0.18891820580474938</v>
      </c>
      <c r="D51" s="30">
        <f t="shared" ref="D51" si="6">IFERROR(D50/D49-1,"-")</f>
        <v>0.17021276595744683</v>
      </c>
      <c r="E51" s="30">
        <f t="shared" ref="E51" si="7">IFERROR(E50/E49-1,"-")</f>
        <v>0.44278021567297454</v>
      </c>
      <c r="F51" s="30">
        <f t="shared" ref="F51" si="8">IFERROR(F50/F49-1,"-")</f>
        <v>-5.9740304589563809E-2</v>
      </c>
      <c r="G51" s="30">
        <f t="shared" ref="G51" si="9">IFERROR(G50/G49-1,"-")</f>
        <v>0.10030389888455304</v>
      </c>
      <c r="H51" s="30">
        <f t="shared" ref="H51" si="10">IFERROR(H50/H49-1,"-")</f>
        <v>0.58823529411764697</v>
      </c>
      <c r="I51" s="30">
        <f t="shared" ref="I51" si="11">IFERROR(I50/I49-1,"-")</f>
        <v>0.35721925133689836</v>
      </c>
      <c r="J51" s="30">
        <f t="shared" ref="J51" si="12">IFERROR(J50/J49-1,"-")</f>
        <v>-0.30721606366528142</v>
      </c>
    </row>
    <row r="52" spans="2:10" s="1" customFormat="1" ht="13.5" customHeight="1">
      <c r="B52" s="5"/>
    </row>
    <row r="53" spans="2:10" s="1" customFormat="1" ht="13.5" customHeight="1">
      <c r="B53" s="5"/>
    </row>
    <row r="54" spans="2:10" s="1" customFormat="1" ht="13.5" customHeight="1">
      <c r="B54" s="5" t="s">
        <v>695</v>
      </c>
    </row>
    <row r="55" spans="2:10" s="1" customFormat="1" ht="13.5" customHeight="1">
      <c r="B55" s="204" t="s">
        <v>57</v>
      </c>
      <c r="C55" s="206" t="s">
        <v>8</v>
      </c>
      <c r="D55" s="206" t="s">
        <v>9</v>
      </c>
      <c r="E55" s="206" t="s">
        <v>58</v>
      </c>
      <c r="F55" s="206" t="s">
        <v>11</v>
      </c>
      <c r="G55" s="206" t="s">
        <v>12</v>
      </c>
      <c r="H55" s="207" t="s">
        <v>13</v>
      </c>
      <c r="I55" s="208"/>
      <c r="J55" s="208"/>
    </row>
    <row r="56" spans="2:10" s="1" customFormat="1" ht="13.5" customHeight="1">
      <c r="B56" s="205"/>
      <c r="C56" s="206"/>
      <c r="D56" s="206"/>
      <c r="E56" s="206"/>
      <c r="F56" s="206"/>
      <c r="G56" s="206"/>
      <c r="H56" s="6" t="s">
        <v>43</v>
      </c>
      <c r="I56" s="7" t="s">
        <v>59</v>
      </c>
      <c r="J56" s="29" t="s">
        <v>44</v>
      </c>
    </row>
    <row r="57" spans="2:10" s="1" customFormat="1" ht="13.5" hidden="1" customHeight="1">
      <c r="B57" s="183" t="s">
        <v>690</v>
      </c>
      <c r="C57" s="184">
        <f>SUM(C71:C72)</f>
        <v>655</v>
      </c>
      <c r="D57" s="184">
        <f>SUM(D71:D72)</f>
        <v>14</v>
      </c>
      <c r="E57" s="8">
        <f t="shared" ref="E57:E61" si="13">IFERROR(D57/C57,)</f>
        <v>2.1374045801526718E-2</v>
      </c>
      <c r="F57" s="2">
        <f t="shared" ref="F57:F58" si="14">IFERROR(G57/D57,0)</f>
        <v>4151.7142857142853</v>
      </c>
      <c r="G57" s="184">
        <f>SUM(G71:G72)</f>
        <v>58124</v>
      </c>
      <c r="H57" s="184">
        <f>SUM(H71:H72)</f>
        <v>2</v>
      </c>
      <c r="I57" s="8">
        <f>IFERROR(H57/D57,0)</f>
        <v>0.14285714285714285</v>
      </c>
      <c r="J57" s="2">
        <f>IFERROR(G57/H57,0)</f>
        <v>29062</v>
      </c>
    </row>
    <row r="58" spans="2:10" s="1" customFormat="1" ht="13.5" customHeight="1">
      <c r="B58" s="183" t="s">
        <v>708</v>
      </c>
      <c r="C58" s="184">
        <f>SUM(C78:C79)</f>
        <v>557</v>
      </c>
      <c r="D58" s="184">
        <f>SUM(D78:D79)</f>
        <v>11</v>
      </c>
      <c r="E58" s="8">
        <f t="shared" si="13"/>
        <v>1.9748653500897665E-2</v>
      </c>
      <c r="F58" s="3">
        <f t="shared" si="14"/>
        <v>4767</v>
      </c>
      <c r="G58" s="184">
        <f>SUM(G78:G79)</f>
        <v>52437</v>
      </c>
      <c r="H58" s="184">
        <f>SUM(H78:H79)</f>
        <v>1</v>
      </c>
      <c r="I58" s="8">
        <f>IFERROR(H58/D58,0)</f>
        <v>9.0909090909090912E-2</v>
      </c>
      <c r="J58" s="2">
        <f>IFERROR(G58/H58,0)</f>
        <v>52437</v>
      </c>
    </row>
    <row r="59" spans="2:10" s="1" customFormat="1" ht="13.5" customHeight="1">
      <c r="B59" s="183" t="s">
        <v>709</v>
      </c>
      <c r="C59" s="184">
        <f>SUM(C85:C86)</f>
        <v>674</v>
      </c>
      <c r="D59" s="184">
        <f>SUM(D85:D86)</f>
        <v>10</v>
      </c>
      <c r="E59" s="8">
        <f t="shared" si="13"/>
        <v>1.483679525222552E-2</v>
      </c>
      <c r="F59" s="3">
        <f>IFERROR(G59/D59,0)</f>
        <v>5008.3</v>
      </c>
      <c r="G59" s="184">
        <f>SUM(G85:G86)</f>
        <v>50083</v>
      </c>
      <c r="H59" s="184">
        <f>SUM(H85:H86)</f>
        <v>6</v>
      </c>
      <c r="I59" s="8">
        <f>IFERROR(H59/D59,0)</f>
        <v>0.6</v>
      </c>
      <c r="J59" s="2">
        <f>IFERROR(G59/H59,0)</f>
        <v>8347.1666666666661</v>
      </c>
    </row>
    <row r="60" spans="2:10" s="1" customFormat="1" ht="13.5" customHeight="1">
      <c r="B60" s="183" t="s">
        <v>738</v>
      </c>
      <c r="C60" s="184">
        <f>SUM(C92:C93)</f>
        <v>472</v>
      </c>
      <c r="D60" s="184">
        <f>SUM(D92:D93)</f>
        <v>9</v>
      </c>
      <c r="E60" s="8">
        <f t="shared" si="13"/>
        <v>1.9067796610169493E-2</v>
      </c>
      <c r="F60" s="3">
        <f t="shared" ref="F60:F61" si="15">IFERROR(G60/D60,0)</f>
        <v>3427.1111111111113</v>
      </c>
      <c r="G60" s="184">
        <f>SUM(G92:G93)</f>
        <v>30844</v>
      </c>
      <c r="H60" s="184">
        <f>SUM(H92:H93)</f>
        <v>1</v>
      </c>
      <c r="I60" s="8">
        <f>IFERROR(H60/D60,0)</f>
        <v>0.1111111111111111</v>
      </c>
      <c r="J60" s="2">
        <f>IFERROR(G60/H60,0)</f>
        <v>30844</v>
      </c>
    </row>
    <row r="61" spans="2:10" s="1" customFormat="1" ht="13.5" customHeight="1">
      <c r="B61" s="183" t="s">
        <v>758</v>
      </c>
      <c r="C61" s="184">
        <f>SUM(C99:C100)</f>
        <v>505</v>
      </c>
      <c r="D61" s="184">
        <f>SUM(D99:D100)</f>
        <v>13</v>
      </c>
      <c r="E61" s="8">
        <f t="shared" si="13"/>
        <v>2.5742574257425741E-2</v>
      </c>
      <c r="F61" s="3">
        <f t="shared" si="15"/>
        <v>3289.8461538461538</v>
      </c>
      <c r="G61" s="184">
        <f>SUM(G99:G100)</f>
        <v>42768</v>
      </c>
      <c r="H61" s="184">
        <f>SUM(H99:H100)</f>
        <v>2</v>
      </c>
      <c r="I61" s="8">
        <f>IFERROR(H61/D61,0)</f>
        <v>0.15384615384615385</v>
      </c>
      <c r="J61" s="2">
        <f>IFERROR(G61/H61,0)</f>
        <v>21384</v>
      </c>
    </row>
    <row r="62" spans="2:10" s="1" customFormat="1" ht="13.5" customHeight="1">
      <c r="B62" s="185" t="s">
        <v>16</v>
      </c>
      <c r="C62" s="30">
        <f>IFERROR(C61/C60-1,"-")</f>
        <v>6.991525423728806E-2</v>
      </c>
      <c r="D62" s="30">
        <f t="shared" ref="D62" si="16">IFERROR(D61/D60-1,"-")</f>
        <v>0.44444444444444442</v>
      </c>
      <c r="E62" s="30">
        <f t="shared" ref="E62" si="17">IFERROR(E61/E60-1,"-")</f>
        <v>0.3500550055005498</v>
      </c>
      <c r="F62" s="30">
        <f t="shared" ref="F62" si="18">IFERROR(F61/F60-1,"-")</f>
        <v>-4.0052672007023005E-2</v>
      </c>
      <c r="G62" s="30">
        <f t="shared" ref="G62" si="19">IFERROR(G61/G60-1,"-")</f>
        <v>0.38659058487874476</v>
      </c>
      <c r="H62" s="30">
        <f t="shared" ref="H62" si="20">IFERROR(H61/H60-1,"-")</f>
        <v>1</v>
      </c>
      <c r="I62" s="30">
        <f t="shared" ref="I62" si="21">IFERROR(I61/I60-1,"-")</f>
        <v>0.3846153846153848</v>
      </c>
      <c r="J62" s="30">
        <f t="shared" ref="J62" si="22">IFERROR(J61/J60-1,"-")</f>
        <v>-0.30670470756062762</v>
      </c>
    </row>
    <row r="63" spans="2:10" s="1" customFormat="1"/>
    <row r="64" spans="2:10" s="1" customFormat="1"/>
    <row r="65" spans="2:13" s="18" customFormat="1">
      <c r="B65" s="5" t="s">
        <v>18</v>
      </c>
      <c r="C65" s="1"/>
      <c r="D65" s="1"/>
      <c r="E65" s="1"/>
      <c r="F65" s="1"/>
      <c r="G65" s="1"/>
      <c r="H65" s="1"/>
      <c r="I65" s="1"/>
      <c r="J65" s="1"/>
    </row>
    <row r="66" spans="2:13" s="13" customFormat="1" ht="16.5" customHeight="1">
      <c r="B66" s="204" t="s">
        <v>56</v>
      </c>
      <c r="C66" s="206" t="s">
        <v>8</v>
      </c>
      <c r="D66" s="206" t="s">
        <v>9</v>
      </c>
      <c r="E66" s="206" t="s">
        <v>58</v>
      </c>
      <c r="F66" s="206" t="s">
        <v>11</v>
      </c>
      <c r="G66" s="206" t="s">
        <v>12</v>
      </c>
      <c r="H66" s="207" t="s">
        <v>13</v>
      </c>
      <c r="I66" s="208"/>
      <c r="J66" s="208"/>
    </row>
    <row r="67" spans="2:13" s="1" customFormat="1">
      <c r="B67" s="204"/>
      <c r="C67" s="206"/>
      <c r="D67" s="206"/>
      <c r="E67" s="206"/>
      <c r="F67" s="206"/>
      <c r="G67" s="206"/>
      <c r="H67" s="6" t="s">
        <v>43</v>
      </c>
      <c r="I67" s="7" t="s">
        <v>59</v>
      </c>
      <c r="J67" s="29" t="s">
        <v>44</v>
      </c>
    </row>
    <row r="68" spans="2:13" s="1" customFormat="1">
      <c r="B68" s="9" t="s">
        <v>19</v>
      </c>
      <c r="C68" s="14">
        <f>SUM(C69:C100)</f>
        <v>16756</v>
      </c>
      <c r="D68" s="14">
        <f>SUM(D69:D100)</f>
        <v>451</v>
      </c>
      <c r="E68" s="15">
        <f t="shared" ref="E68:E97" si="23">IFERROR(D68/C68,)</f>
        <v>2.691573167820482E-2</v>
      </c>
      <c r="F68" s="14">
        <f t="shared" ref="F68" si="24">IFERROR(G68/D68,0)</f>
        <v>6423.3902439024387</v>
      </c>
      <c r="G68" s="14">
        <f>SUM(G69:G100)</f>
        <v>2896949</v>
      </c>
      <c r="H68" s="14">
        <f>SUM(H69:H100)</f>
        <v>94</v>
      </c>
      <c r="I68" s="15">
        <f t="shared" ref="I68:I97" si="25">IFERROR(H68/D68,0)</f>
        <v>0.20842572062084258</v>
      </c>
      <c r="J68" s="14">
        <f t="shared" ref="J68:J97" si="26">IFERROR(G68/H68,0)</f>
        <v>30818.606382978724</v>
      </c>
    </row>
    <row r="69" spans="2:13" s="18" customFormat="1" ht="14.25" hidden="1" customHeight="1">
      <c r="B69" s="183" t="s">
        <v>657</v>
      </c>
      <c r="C69" s="170">
        <f>SUMIFS('파워링크 RAW'!E:E,'파워링크 RAW'!$A:$A,파워링크_Summary!$B69,'파워링크 RAW'!$D:$D,"파워링크")</f>
        <v>279</v>
      </c>
      <c r="D69" s="155">
        <f>SUMIFS('파워링크 RAW'!F:F,'파워링크 RAW'!$A:$A,파워링크_Summary!$B69,'파워링크 RAW'!$D:$D,"파워링크")</f>
        <v>9</v>
      </c>
      <c r="E69" s="17">
        <f t="shared" si="23"/>
        <v>3.2258064516129031E-2</v>
      </c>
      <c r="F69" s="16">
        <f>IFERROR(G69/D69,0)</f>
        <v>6029.2222222222226</v>
      </c>
      <c r="G69" s="155">
        <f>SUMIFS('파워링크 RAW'!G:G,'파워링크 RAW'!$A:$A,파워링크_Summary!$B69,'파워링크 RAW'!$D:$D,"파워링크")</f>
        <v>54263</v>
      </c>
      <c r="H69" s="155">
        <f>SUMIFS('파워링크 RAW'!H:H,'파워링크 RAW'!$A:$A,파워링크_Summary!$B69,'파워링크 RAW'!$D:$D,"파워링크")</f>
        <v>3</v>
      </c>
      <c r="I69" s="17">
        <f t="shared" si="25"/>
        <v>0.33333333333333331</v>
      </c>
      <c r="J69" s="16">
        <f t="shared" si="26"/>
        <v>18087.666666666668</v>
      </c>
      <c r="M69" s="194"/>
    </row>
    <row r="70" spans="2:13" s="13" customFormat="1" hidden="1">
      <c r="B70" s="183" t="s">
        <v>658</v>
      </c>
      <c r="C70" s="170">
        <f>SUMIFS('파워링크 RAW'!E:E,'파워링크 RAW'!$A:$A,파워링크_Summary!$B70,'파워링크 RAW'!$D:$D,"파워링크")</f>
        <v>1013</v>
      </c>
      <c r="D70" s="155">
        <f>SUMIFS('파워링크 RAW'!F:F,'파워링크 RAW'!$A:$A,파워링크_Summary!$B70,'파워링크 RAW'!$D:$D,"파워링크")</f>
        <v>31</v>
      </c>
      <c r="E70" s="17">
        <f t="shared" si="23"/>
        <v>3.0602171767028629E-2</v>
      </c>
      <c r="F70" s="16">
        <f t="shared" ref="F70:F97" si="27">IFERROR(G70/D70,0)</f>
        <v>7627.2580645161288</v>
      </c>
      <c r="G70" s="155">
        <f>SUMIFS('파워링크 RAW'!G:G,'파워링크 RAW'!$A:$A,파워링크_Summary!$B70,'파워링크 RAW'!$D:$D,"파워링크")</f>
        <v>236445</v>
      </c>
      <c r="H70" s="156">
        <f>SUMIFS('파워링크 RAW'!H:H,'파워링크 RAW'!$A:$A,파워링크_Summary!$B70,'파워링크 RAW'!$D:$D,"파워링크")</f>
        <v>6</v>
      </c>
      <c r="I70" s="17">
        <f t="shared" si="25"/>
        <v>0.19354838709677419</v>
      </c>
      <c r="J70" s="16">
        <f t="shared" si="26"/>
        <v>39407.5</v>
      </c>
      <c r="M70" s="193"/>
    </row>
    <row r="71" spans="2:13" s="201" customFormat="1" hidden="1">
      <c r="B71" s="195" t="s">
        <v>659</v>
      </c>
      <c r="C71" s="196">
        <f>SUMIFS('파워링크 RAW'!E:E,'파워링크 RAW'!$A:$A,파워링크_Summary!$B71,'파워링크 RAW'!$D:$D,"파워링크")</f>
        <v>337</v>
      </c>
      <c r="D71" s="197">
        <f>SUMIFS('파워링크 RAW'!F:F,'파워링크 RAW'!$A:$A,파워링크_Summary!$B71,'파워링크 RAW'!$D:$D,"파워링크")</f>
        <v>7</v>
      </c>
      <c r="E71" s="198">
        <f t="shared" si="23"/>
        <v>2.0771513353115726E-2</v>
      </c>
      <c r="F71" s="199">
        <f t="shared" si="27"/>
        <v>4345</v>
      </c>
      <c r="G71" s="197">
        <f>SUMIFS('파워링크 RAW'!G:G,'파워링크 RAW'!$A:$A,파워링크_Summary!$B71,'파워링크 RAW'!$D:$D,"파워링크")</f>
        <v>30415</v>
      </c>
      <c r="H71" s="200">
        <f>SUMIFS('파워링크 RAW'!H:H,'파워링크 RAW'!$A:$A,파워링크_Summary!$B71,'파워링크 RAW'!$D:$D,"파워링크")</f>
        <v>0</v>
      </c>
      <c r="I71" s="198">
        <f t="shared" si="25"/>
        <v>0</v>
      </c>
      <c r="J71" s="199">
        <f t="shared" si="26"/>
        <v>0</v>
      </c>
      <c r="M71" s="202"/>
    </row>
    <row r="72" spans="2:13" s="13" customFormat="1" hidden="1">
      <c r="B72" s="171" t="s">
        <v>660</v>
      </c>
      <c r="C72" s="172">
        <f>SUMIFS('파워링크 RAW'!E:E,'파워링크 RAW'!$A:$A,파워링크_Summary!$B72,'파워링크 RAW'!$D:$D,"파워링크")</f>
        <v>318</v>
      </c>
      <c r="D72" s="173">
        <f>SUMIFS('파워링크 RAW'!F:F,'파워링크 RAW'!$A:$A,파워링크_Summary!$B72,'파워링크 RAW'!$D:$D,"파워링크")</f>
        <v>7</v>
      </c>
      <c r="E72" s="174">
        <f t="shared" si="23"/>
        <v>2.20125786163522E-2</v>
      </c>
      <c r="F72" s="175">
        <f t="shared" si="27"/>
        <v>3958.4285714285716</v>
      </c>
      <c r="G72" s="173">
        <f>SUMIFS('파워링크 RAW'!G:G,'파워링크 RAW'!$A:$A,파워링크_Summary!$B72,'파워링크 RAW'!$D:$D,"파워링크")</f>
        <v>27709</v>
      </c>
      <c r="H72" s="176">
        <f>SUMIFS('파워링크 RAW'!H:H,'파워링크 RAW'!$A:$A,파워링크_Summary!$B72,'파워링크 RAW'!$D:$D,"파워링크")</f>
        <v>2</v>
      </c>
      <c r="I72" s="174">
        <f t="shared" si="25"/>
        <v>0.2857142857142857</v>
      </c>
      <c r="J72" s="175">
        <f t="shared" si="26"/>
        <v>13854.5</v>
      </c>
      <c r="M72" s="193"/>
    </row>
    <row r="73" spans="2:13" s="129" customFormat="1">
      <c r="B73" s="183" t="s">
        <v>710</v>
      </c>
      <c r="C73" s="170">
        <f>SUMIFS('파워링크 RAW'!E:E,'파워링크 RAW'!$A:$A,파워링크_Summary!$B73,'파워링크 RAW'!$D:$D,"파워링크")</f>
        <v>777</v>
      </c>
      <c r="D73" s="155">
        <f>SUMIFS('파워링크 RAW'!F:F,'파워링크 RAW'!$A:$A,파워링크_Summary!$B73,'파워링크 RAW'!$D:$D,"파워링크")</f>
        <v>21</v>
      </c>
      <c r="E73" s="17">
        <f t="shared" si="23"/>
        <v>2.7027027027027029E-2</v>
      </c>
      <c r="F73" s="16">
        <f t="shared" si="27"/>
        <v>8921.5238095238092</v>
      </c>
      <c r="G73" s="155">
        <f>SUMIFS('파워링크 RAW'!G:G,'파워링크 RAW'!$A:$A,파워링크_Summary!$B73,'파워링크 RAW'!$D:$D,"파워링크")</f>
        <v>187352</v>
      </c>
      <c r="H73" s="156">
        <f>SUMIFS('파워링크 RAW'!H:H,'파워링크 RAW'!$A:$A,파워링크_Summary!$B73,'파워링크 RAW'!$D:$D,"파워링크")</f>
        <v>1</v>
      </c>
      <c r="I73" s="17">
        <f t="shared" si="25"/>
        <v>4.7619047619047616E-2</v>
      </c>
      <c r="J73" s="16">
        <f t="shared" si="26"/>
        <v>187352</v>
      </c>
      <c r="M73" s="150"/>
    </row>
    <row r="74" spans="2:13" s="128" customFormat="1" ht="12.75" customHeight="1">
      <c r="B74" s="183" t="s">
        <v>711</v>
      </c>
      <c r="C74" s="170">
        <f>SUMIFS('파워링크 RAW'!E:E,'파워링크 RAW'!$A:$A,파워링크_Summary!$B74,'파워링크 RAW'!$D:$D,"파워링크")</f>
        <v>731</v>
      </c>
      <c r="D74" s="155">
        <f>SUMIFS('파워링크 RAW'!F:F,'파워링크 RAW'!$A:$A,파워링크_Summary!$B74,'파워링크 RAW'!$D:$D,"파워링크")</f>
        <v>12</v>
      </c>
      <c r="E74" s="17">
        <f t="shared" si="23"/>
        <v>1.6415868673050615E-2</v>
      </c>
      <c r="F74" s="16">
        <f t="shared" si="27"/>
        <v>8073.083333333333</v>
      </c>
      <c r="G74" s="155">
        <f>SUMIFS('파워링크 RAW'!G:G,'파워링크 RAW'!$A:$A,파워링크_Summary!$B74,'파워링크 RAW'!$D:$D,"파워링크")</f>
        <v>96877</v>
      </c>
      <c r="H74" s="156">
        <f>SUMIFS('파워링크 RAW'!H:H,'파워링크 RAW'!$A:$A,파워링크_Summary!$B74,'파워링크 RAW'!$D:$D,"파워링크")</f>
        <v>5</v>
      </c>
      <c r="I74" s="17">
        <f t="shared" si="25"/>
        <v>0.41666666666666669</v>
      </c>
      <c r="J74" s="16">
        <f t="shared" si="26"/>
        <v>19375.400000000001</v>
      </c>
      <c r="M74" s="151"/>
    </row>
    <row r="75" spans="2:13" s="129" customFormat="1">
      <c r="B75" s="183" t="s">
        <v>712</v>
      </c>
      <c r="C75" s="170">
        <f>SUMIFS('파워링크 RAW'!E:E,'파워링크 RAW'!$A:$A,파워링크_Summary!$B75,'파워링크 RAW'!$D:$D,"파워링크")</f>
        <v>552</v>
      </c>
      <c r="D75" s="155">
        <f>SUMIFS('파워링크 RAW'!F:F,'파워링크 RAW'!$A:$A,파워링크_Summary!$B75,'파워링크 RAW'!$D:$D,"파워링크")</f>
        <v>22</v>
      </c>
      <c r="E75" s="17">
        <f t="shared" si="23"/>
        <v>3.9855072463768113E-2</v>
      </c>
      <c r="F75" s="16">
        <f t="shared" si="27"/>
        <v>7131.5</v>
      </c>
      <c r="G75" s="155">
        <f>SUMIFS('파워링크 RAW'!G:G,'파워링크 RAW'!$A:$A,파워링크_Summary!$B75,'파워링크 RAW'!$D:$D,"파워링크")</f>
        <v>156893</v>
      </c>
      <c r="H75" s="156">
        <f>SUMIFS('파워링크 RAW'!H:H,'파워링크 RAW'!$A:$A,파워링크_Summary!$B75,'파워링크 RAW'!$D:$D,"파워링크")</f>
        <v>6</v>
      </c>
      <c r="I75" s="17">
        <f t="shared" si="25"/>
        <v>0.27272727272727271</v>
      </c>
      <c r="J75" s="16">
        <f t="shared" si="26"/>
        <v>26148.833333333332</v>
      </c>
      <c r="M75" s="150"/>
    </row>
    <row r="76" spans="2:13" s="18" customFormat="1">
      <c r="B76" s="183" t="s">
        <v>713</v>
      </c>
      <c r="C76" s="170">
        <f>SUMIFS('파워링크 RAW'!E:E,'파워링크 RAW'!$A:$A,파워링크_Summary!$B76,'파워링크 RAW'!$D:$D,"파워링크")</f>
        <v>498</v>
      </c>
      <c r="D76" s="155">
        <f>SUMIFS('파워링크 RAW'!F:F,'파워링크 RAW'!$A:$A,파워링크_Summary!$B76,'파워링크 RAW'!$D:$D,"파워링크")</f>
        <v>16</v>
      </c>
      <c r="E76" s="17">
        <f t="shared" si="23"/>
        <v>3.2128514056224897E-2</v>
      </c>
      <c r="F76" s="16">
        <f t="shared" si="27"/>
        <v>4811.125</v>
      </c>
      <c r="G76" s="155">
        <f>SUMIFS('파워링크 RAW'!G:G,'파워링크 RAW'!$A:$A,파워링크_Summary!$B76,'파워링크 RAW'!$D:$D,"파워링크")</f>
        <v>76978</v>
      </c>
      <c r="H76" s="156">
        <f>SUMIFS('파워링크 RAW'!H:H,'파워링크 RAW'!$A:$A,파워링크_Summary!$B76,'파워링크 RAW'!$D:$D,"파워링크")</f>
        <v>1</v>
      </c>
      <c r="I76" s="17">
        <f t="shared" si="25"/>
        <v>6.25E-2</v>
      </c>
      <c r="J76" s="16">
        <f t="shared" si="26"/>
        <v>76978</v>
      </c>
      <c r="M76" s="194"/>
    </row>
    <row r="77" spans="2:13" s="13" customFormat="1">
      <c r="B77" s="183" t="s">
        <v>714</v>
      </c>
      <c r="C77" s="170">
        <f>SUMIFS('파워링크 RAW'!E:E,'파워링크 RAW'!$A:$A,파워링크_Summary!$B77,'파워링크 RAW'!$D:$D,"파워링크")</f>
        <v>529</v>
      </c>
      <c r="D77" s="155">
        <f>SUMIFS('파워링크 RAW'!F:F,'파워링크 RAW'!$A:$A,파워링크_Summary!$B77,'파워링크 RAW'!$D:$D,"파워링크")</f>
        <v>12</v>
      </c>
      <c r="E77" s="17">
        <f t="shared" si="23"/>
        <v>2.2684310018903593E-2</v>
      </c>
      <c r="F77" s="16">
        <f t="shared" si="27"/>
        <v>7322.333333333333</v>
      </c>
      <c r="G77" s="155">
        <f>SUMIFS('파워링크 RAW'!G:G,'파워링크 RAW'!$A:$A,파워링크_Summary!$B77,'파워링크 RAW'!$D:$D,"파워링크")</f>
        <v>87868</v>
      </c>
      <c r="H77" s="156">
        <f>SUMIFS('파워링크 RAW'!H:H,'파워링크 RAW'!$A:$A,파워링크_Summary!$B77,'파워링크 RAW'!$D:$D,"파워링크")</f>
        <v>2</v>
      </c>
      <c r="I77" s="17">
        <f t="shared" si="25"/>
        <v>0.16666666666666666</v>
      </c>
      <c r="J77" s="16">
        <f t="shared" si="26"/>
        <v>43934</v>
      </c>
    </row>
    <row r="78" spans="2:13" s="201" customFormat="1">
      <c r="B78" s="195" t="s">
        <v>715</v>
      </c>
      <c r="C78" s="196">
        <f>SUMIFS('파워링크 RAW'!E:E,'파워링크 RAW'!$A:$A,파워링크_Summary!$B78,'파워링크 RAW'!$D:$D,"파워링크")</f>
        <v>284</v>
      </c>
      <c r="D78" s="197">
        <f>SUMIFS('파워링크 RAW'!F:F,'파워링크 RAW'!$A:$A,파워링크_Summary!$B78,'파워링크 RAW'!$D:$D,"파워링크")</f>
        <v>2</v>
      </c>
      <c r="E78" s="198">
        <f t="shared" si="23"/>
        <v>7.0422535211267607E-3</v>
      </c>
      <c r="F78" s="199">
        <f t="shared" si="27"/>
        <v>2398</v>
      </c>
      <c r="G78" s="197">
        <f>SUMIFS('파워링크 RAW'!G:G,'파워링크 RAW'!$A:$A,파워링크_Summary!$B78,'파워링크 RAW'!$D:$D,"파워링크")</f>
        <v>4796</v>
      </c>
      <c r="H78" s="200">
        <f>SUMIFS('파워링크 RAW'!H:H,'파워링크 RAW'!$A:$A,파워링크_Summary!$B78,'파워링크 RAW'!$D:$D,"파워링크")</f>
        <v>0</v>
      </c>
      <c r="I78" s="198">
        <f t="shared" si="25"/>
        <v>0</v>
      </c>
      <c r="J78" s="199">
        <f t="shared" si="26"/>
        <v>0</v>
      </c>
    </row>
    <row r="79" spans="2:13" s="13" customFormat="1">
      <c r="B79" s="171" t="s">
        <v>716</v>
      </c>
      <c r="C79" s="172">
        <f>SUMIFS('파워링크 RAW'!E:E,'파워링크 RAW'!$A:$A,파워링크_Summary!$B79,'파워링크 RAW'!$D:$D,"파워링크")</f>
        <v>273</v>
      </c>
      <c r="D79" s="173">
        <f>SUMIFS('파워링크 RAW'!F:F,'파워링크 RAW'!$A:$A,파워링크_Summary!$B79,'파워링크 RAW'!$D:$D,"파워링크")</f>
        <v>9</v>
      </c>
      <c r="E79" s="174">
        <f t="shared" si="23"/>
        <v>3.2967032967032968E-2</v>
      </c>
      <c r="F79" s="175">
        <f t="shared" si="27"/>
        <v>5293.4444444444443</v>
      </c>
      <c r="G79" s="173">
        <f>SUMIFS('파워링크 RAW'!G:G,'파워링크 RAW'!$A:$A,파워링크_Summary!$B79,'파워링크 RAW'!$D:$D,"파워링크")</f>
        <v>47641</v>
      </c>
      <c r="H79" s="176">
        <f>SUMIFS('파워링크 RAW'!H:H,'파워링크 RAW'!$A:$A,파워링크_Summary!$B79,'파워링크 RAW'!$D:$D,"파워링크")</f>
        <v>1</v>
      </c>
      <c r="I79" s="174">
        <f t="shared" si="25"/>
        <v>0.1111111111111111</v>
      </c>
      <c r="J79" s="175">
        <f t="shared" si="26"/>
        <v>47641</v>
      </c>
    </row>
    <row r="80" spans="2:13" s="129" customFormat="1">
      <c r="B80" s="183" t="s">
        <v>717</v>
      </c>
      <c r="C80" s="170">
        <f>SUMIFS('파워링크 RAW'!E:E,'파워링크 RAW'!$A:$A,파워링크_Summary!$B80,'파워링크 RAW'!$D:$D,"파워링크")</f>
        <v>402</v>
      </c>
      <c r="D80" s="155">
        <f>SUMIFS('파워링크 RAW'!F:F,'파워링크 RAW'!$A:$A,파워링크_Summary!$B80,'파워링크 RAW'!$D:$D,"파워링크")</f>
        <v>11</v>
      </c>
      <c r="E80" s="17">
        <f t="shared" si="23"/>
        <v>2.736318407960199E-2</v>
      </c>
      <c r="F80" s="16">
        <f t="shared" si="27"/>
        <v>5136</v>
      </c>
      <c r="G80" s="155">
        <f>SUMIFS('파워링크 RAW'!G:G,'파워링크 RAW'!$A:$A,파워링크_Summary!$B80,'파워링크 RAW'!$D:$D,"파워링크")</f>
        <v>56496</v>
      </c>
      <c r="H80" s="156">
        <f>SUMIFS('파워링크 RAW'!H:H,'파워링크 RAW'!$A:$A,파워링크_Summary!$B80,'파워링크 RAW'!$D:$D,"파워링크")</f>
        <v>5</v>
      </c>
      <c r="I80" s="17">
        <f t="shared" si="25"/>
        <v>0.45454545454545453</v>
      </c>
      <c r="J80" s="16">
        <f t="shared" si="26"/>
        <v>11299.2</v>
      </c>
      <c r="K80" s="1"/>
    </row>
    <row r="81" spans="2:11" s="128" customFormat="1">
      <c r="B81" s="183" t="s">
        <v>718</v>
      </c>
      <c r="C81" s="170">
        <f>SUMIFS('파워링크 RAW'!E:E,'파워링크 RAW'!$A:$A,파워링크_Summary!$B81,'파워링크 RAW'!$D:$D,"파워링크")</f>
        <v>367</v>
      </c>
      <c r="D81" s="155">
        <f>SUMIFS('파워링크 RAW'!F:F,'파워링크 RAW'!$A:$A,파워링크_Summary!$B81,'파워링크 RAW'!$D:$D,"파워링크")</f>
        <v>7</v>
      </c>
      <c r="E81" s="17">
        <f t="shared" si="23"/>
        <v>1.9073569482288829E-2</v>
      </c>
      <c r="F81" s="16">
        <f t="shared" si="27"/>
        <v>5954.1428571428569</v>
      </c>
      <c r="G81" s="155">
        <f>SUMIFS('파워링크 RAW'!G:G,'파워링크 RAW'!$A:$A,파워링크_Summary!$B81,'파워링크 RAW'!$D:$D,"파워링크")</f>
        <v>41679</v>
      </c>
      <c r="H81" s="156">
        <f>SUMIFS('파워링크 RAW'!H:H,'파워링크 RAW'!$A:$A,파워링크_Summary!$B81,'파워링크 RAW'!$D:$D,"파워링크")</f>
        <v>0</v>
      </c>
      <c r="I81" s="17">
        <f t="shared" si="25"/>
        <v>0</v>
      </c>
      <c r="J81" s="16">
        <f t="shared" si="26"/>
        <v>0</v>
      </c>
    </row>
    <row r="82" spans="2:11" s="129" customFormat="1">
      <c r="B82" s="183" t="s">
        <v>719</v>
      </c>
      <c r="C82" s="170">
        <f>SUMIFS('파워링크 RAW'!E:E,'파워링크 RAW'!$A:$A,파워링크_Summary!$B82,'파워링크 RAW'!$D:$D,"파워링크")</f>
        <v>418</v>
      </c>
      <c r="D82" s="155">
        <f>SUMIFS('파워링크 RAW'!F:F,'파워링크 RAW'!$A:$A,파워링크_Summary!$B82,'파워링크 RAW'!$D:$D,"파워링크")</f>
        <v>9</v>
      </c>
      <c r="E82" s="17">
        <f t="shared" si="23"/>
        <v>2.1531100478468901E-2</v>
      </c>
      <c r="F82" s="16">
        <f t="shared" si="27"/>
        <v>6889.666666666667</v>
      </c>
      <c r="G82" s="155">
        <f>SUMIFS('파워링크 RAW'!G:G,'파워링크 RAW'!$A:$A,파워링크_Summary!$B82,'파워링크 RAW'!$D:$D,"파워링크")</f>
        <v>62007</v>
      </c>
      <c r="H82" s="156">
        <f>SUMIFS('파워링크 RAW'!H:H,'파워링크 RAW'!$A:$A,파워링크_Summary!$B82,'파워링크 RAW'!$D:$D,"파워링크")</f>
        <v>2</v>
      </c>
      <c r="I82" s="17">
        <f t="shared" si="25"/>
        <v>0.22222222222222221</v>
      </c>
      <c r="J82" s="16">
        <f t="shared" si="26"/>
        <v>31003.5</v>
      </c>
    </row>
    <row r="83" spans="2:11" s="18" customFormat="1">
      <c r="B83" s="183" t="s">
        <v>720</v>
      </c>
      <c r="C83" s="170">
        <f>SUMIFS('파워링크 RAW'!E:E,'파워링크 RAW'!$A:$A,파워링크_Summary!$B83,'파워링크 RAW'!$D:$D,"파워링크")</f>
        <v>790</v>
      </c>
      <c r="D83" s="155">
        <f>SUMIFS('파워링크 RAW'!F:F,'파워링크 RAW'!$A:$A,파워링크_Summary!$B83,'파워링크 RAW'!$D:$D,"파워링크")</f>
        <v>25</v>
      </c>
      <c r="E83" s="17">
        <f t="shared" si="23"/>
        <v>3.1645569620253167E-2</v>
      </c>
      <c r="F83" s="16">
        <f t="shared" si="27"/>
        <v>6521.68</v>
      </c>
      <c r="G83" s="155">
        <f>SUMIFS('파워링크 RAW'!G:G,'파워링크 RAW'!$A:$A,파워링크_Summary!$B83,'파워링크 RAW'!$D:$D,"파워링크")</f>
        <v>163042</v>
      </c>
      <c r="H83" s="156">
        <f>SUMIFS('파워링크 RAW'!H:H,'파워링크 RAW'!$A:$A,파워링크_Summary!$B83,'파워링크 RAW'!$D:$D,"파워링크")</f>
        <v>4</v>
      </c>
      <c r="I83" s="17">
        <f t="shared" si="25"/>
        <v>0.16</v>
      </c>
      <c r="J83" s="16">
        <f t="shared" si="26"/>
        <v>40760.5</v>
      </c>
    </row>
    <row r="84" spans="2:11" s="13" customFormat="1">
      <c r="B84" s="183" t="s">
        <v>721</v>
      </c>
      <c r="C84" s="170">
        <f>SUMIFS('파워링크 RAW'!E:E,'파워링크 RAW'!$A:$A,파워링크_Summary!$B84,'파워링크 RAW'!$D:$D,"파워링크")</f>
        <v>673</v>
      </c>
      <c r="D84" s="155">
        <f>SUMIFS('파워링크 RAW'!F:F,'파워링크 RAW'!$A:$A,파워링크_Summary!$B84,'파워링크 RAW'!$D:$D,"파워링크")</f>
        <v>15</v>
      </c>
      <c r="E84" s="17">
        <f t="shared" si="23"/>
        <v>2.2288261515601784E-2</v>
      </c>
      <c r="F84" s="16">
        <f t="shared" si="27"/>
        <v>6985.7333333333336</v>
      </c>
      <c r="G84" s="155">
        <f>SUMIFS('파워링크 RAW'!G:G,'파워링크 RAW'!$A:$A,파워링크_Summary!$B84,'파워링크 RAW'!$D:$D,"파워링크")</f>
        <v>104786</v>
      </c>
      <c r="H84" s="156">
        <f>SUMIFS('파워링크 RAW'!H:H,'파워링크 RAW'!$A:$A,파워링크_Summary!$B84,'파워링크 RAW'!$D:$D,"파워링크")</f>
        <v>3</v>
      </c>
      <c r="I84" s="17">
        <f t="shared" si="25"/>
        <v>0.2</v>
      </c>
      <c r="J84" s="16">
        <f t="shared" si="26"/>
        <v>34928.666666666664</v>
      </c>
    </row>
    <row r="85" spans="2:11" s="201" customFormat="1">
      <c r="B85" s="195" t="s">
        <v>722</v>
      </c>
      <c r="C85" s="196">
        <f>SUMIFS('파워링크 RAW'!E:E,'파워링크 RAW'!$A:$A,파워링크_Summary!$B85,'파워링크 RAW'!$D:$D,"파워링크")</f>
        <v>341</v>
      </c>
      <c r="D85" s="197">
        <f>SUMIFS('파워링크 RAW'!F:F,'파워링크 RAW'!$A:$A,파워링크_Summary!$B85,'파워링크 RAW'!$D:$D,"파워링크")</f>
        <v>6</v>
      </c>
      <c r="E85" s="198">
        <f t="shared" si="23"/>
        <v>1.7595307917888565E-2</v>
      </c>
      <c r="F85" s="199">
        <f t="shared" si="27"/>
        <v>4400</v>
      </c>
      <c r="G85" s="197">
        <f>SUMIFS('파워링크 RAW'!G:G,'파워링크 RAW'!$A:$A,파워링크_Summary!$B85,'파워링크 RAW'!$D:$D,"파워링크")</f>
        <v>26400</v>
      </c>
      <c r="H85" s="200">
        <f>SUMIFS('파워링크 RAW'!H:H,'파워링크 RAW'!$A:$A,파워링크_Summary!$B85,'파워링크 RAW'!$D:$D,"파워링크")</f>
        <v>6</v>
      </c>
      <c r="I85" s="198">
        <f t="shared" si="25"/>
        <v>1</v>
      </c>
      <c r="J85" s="199">
        <f t="shared" si="26"/>
        <v>4400</v>
      </c>
    </row>
    <row r="86" spans="2:11" s="13" customFormat="1">
      <c r="B86" s="171" t="s">
        <v>723</v>
      </c>
      <c r="C86" s="172">
        <f>SUMIFS('파워링크 RAW'!E:E,'파워링크 RAW'!$A:$A,파워링크_Summary!$B86,'파워링크 RAW'!$D:$D,"파워링크")</f>
        <v>333</v>
      </c>
      <c r="D86" s="173">
        <f>SUMIFS('파워링크 RAW'!F:F,'파워링크 RAW'!$A:$A,파워링크_Summary!$B86,'파워링크 RAW'!$D:$D,"파워링크")</f>
        <v>4</v>
      </c>
      <c r="E86" s="174">
        <f t="shared" si="23"/>
        <v>1.2012012012012012E-2</v>
      </c>
      <c r="F86" s="175">
        <f t="shared" si="27"/>
        <v>5920.75</v>
      </c>
      <c r="G86" s="173">
        <f>SUMIFS('파워링크 RAW'!G:G,'파워링크 RAW'!$A:$A,파워링크_Summary!$B86,'파워링크 RAW'!$D:$D,"파워링크")</f>
        <v>23683</v>
      </c>
      <c r="H86" s="176">
        <f>SUMIFS('파워링크 RAW'!H:H,'파워링크 RAW'!$A:$A,파워링크_Summary!$B86,'파워링크 RAW'!$D:$D,"파워링크")</f>
        <v>0</v>
      </c>
      <c r="I86" s="174">
        <f t="shared" si="25"/>
        <v>0</v>
      </c>
      <c r="J86" s="175">
        <f t="shared" si="26"/>
        <v>0</v>
      </c>
    </row>
    <row r="87" spans="2:11" s="129" customFormat="1">
      <c r="B87" s="183" t="s">
        <v>730</v>
      </c>
      <c r="C87" s="170">
        <f>SUMIFS('파워링크 RAW'!E:E,'파워링크 RAW'!$A:$A,파워링크_Summary!$B87,'파워링크 RAW'!$D:$D,"파워링크")</f>
        <v>780</v>
      </c>
      <c r="D87" s="155">
        <f>SUMIFS('파워링크 RAW'!F:F,'파워링크 RAW'!$A:$A,파워링크_Summary!$B87,'파워링크 RAW'!$D:$D,"파워링크")</f>
        <v>18</v>
      </c>
      <c r="E87" s="17">
        <f t="shared" si="23"/>
        <v>2.3076923076923078E-2</v>
      </c>
      <c r="F87" s="16">
        <f t="shared" si="27"/>
        <v>7792.8888888888887</v>
      </c>
      <c r="G87" s="155">
        <f>SUMIFS('파워링크 RAW'!G:G,'파워링크 RAW'!$A:$A,파워링크_Summary!$B87,'파워링크 RAW'!$D:$D,"파워링크")</f>
        <v>140272</v>
      </c>
      <c r="H87" s="156">
        <f>SUMIFS('파워링크 RAW'!H:H,'파워링크 RAW'!$A:$A,파워링크_Summary!$B87,'파워링크 RAW'!$D:$D,"파워링크")</f>
        <v>2</v>
      </c>
      <c r="I87" s="17">
        <f t="shared" si="25"/>
        <v>0.1111111111111111</v>
      </c>
      <c r="J87" s="16">
        <f t="shared" si="26"/>
        <v>70136</v>
      </c>
      <c r="K87" s="1"/>
    </row>
    <row r="88" spans="2:11" s="128" customFormat="1">
      <c r="B88" s="183" t="s">
        <v>731</v>
      </c>
      <c r="C88" s="170">
        <f>SUMIFS('파워링크 RAW'!E:E,'파워링크 RAW'!$A:$A,파워링크_Summary!$B88,'파워링크 RAW'!$D:$D,"파워링크")</f>
        <v>838</v>
      </c>
      <c r="D88" s="155">
        <f>SUMIFS('파워링크 RAW'!F:F,'파워링크 RAW'!$A:$A,파워링크_Summary!$B88,'파워링크 RAW'!$D:$D,"파워링크")</f>
        <v>19</v>
      </c>
      <c r="E88" s="17">
        <f t="shared" si="23"/>
        <v>2.2673031026252982E-2</v>
      </c>
      <c r="F88" s="16">
        <f t="shared" si="27"/>
        <v>6305.3157894736842</v>
      </c>
      <c r="G88" s="155">
        <f>SUMIFS('파워링크 RAW'!G:G,'파워링크 RAW'!$A:$A,파워링크_Summary!$B88,'파워링크 RAW'!$D:$D,"파워링크")</f>
        <v>119801</v>
      </c>
      <c r="H88" s="156">
        <f>SUMIFS('파워링크 RAW'!H:H,'파워링크 RAW'!$A:$A,파워링크_Summary!$B88,'파워링크 RAW'!$D:$D,"파워링크")</f>
        <v>8</v>
      </c>
      <c r="I88" s="17">
        <f t="shared" si="25"/>
        <v>0.42105263157894735</v>
      </c>
      <c r="J88" s="16">
        <f t="shared" si="26"/>
        <v>14975.125</v>
      </c>
    </row>
    <row r="89" spans="2:11" s="129" customFormat="1">
      <c r="B89" s="183" t="s">
        <v>732</v>
      </c>
      <c r="C89" s="170">
        <f>SUMIFS('파워링크 RAW'!E:E,'파워링크 RAW'!$A:$A,파워링크_Summary!$B89,'파워링크 RAW'!$D:$D,"파워링크")</f>
        <v>805</v>
      </c>
      <c r="D89" s="155">
        <f>SUMIFS('파워링크 RAW'!F:F,'파워링크 RAW'!$A:$A,파워링크_Summary!$B89,'파워링크 RAW'!$D:$D,"파워링크")</f>
        <v>15</v>
      </c>
      <c r="E89" s="17">
        <f t="shared" si="23"/>
        <v>1.8633540372670808E-2</v>
      </c>
      <c r="F89" s="16">
        <f t="shared" si="27"/>
        <v>7000.4</v>
      </c>
      <c r="G89" s="155">
        <f>SUMIFS('파워링크 RAW'!G:G,'파워링크 RAW'!$A:$A,파워링크_Summary!$B89,'파워링크 RAW'!$D:$D,"파워링크")</f>
        <v>105006</v>
      </c>
      <c r="H89" s="156">
        <f>SUMIFS('파워링크 RAW'!H:H,'파워링크 RAW'!$A:$A,파워링크_Summary!$B89,'파워링크 RAW'!$D:$D,"파워링크")</f>
        <v>2</v>
      </c>
      <c r="I89" s="17">
        <f t="shared" si="25"/>
        <v>0.13333333333333333</v>
      </c>
      <c r="J89" s="16">
        <f t="shared" si="26"/>
        <v>52503</v>
      </c>
    </row>
    <row r="90" spans="2:11" s="18" customFormat="1">
      <c r="B90" s="183" t="s">
        <v>733</v>
      </c>
      <c r="C90" s="170">
        <f>SUMIFS('파워링크 RAW'!E:E,'파워링크 RAW'!$A:$A,파워링크_Summary!$B90,'파워링크 RAW'!$D:$D,"파워링크")</f>
        <v>648</v>
      </c>
      <c r="D90" s="155">
        <f>SUMIFS('파워링크 RAW'!F:F,'파워링크 RAW'!$A:$A,파워링크_Summary!$B90,'파워링크 RAW'!$D:$D,"파워링크")</f>
        <v>24</v>
      </c>
      <c r="E90" s="17">
        <f t="shared" si="23"/>
        <v>3.7037037037037035E-2</v>
      </c>
      <c r="F90" s="16">
        <f t="shared" si="27"/>
        <v>6608.25</v>
      </c>
      <c r="G90" s="155">
        <f>SUMIFS('파워링크 RAW'!G:G,'파워링크 RAW'!$A:$A,파워링크_Summary!$B90,'파워링크 RAW'!$D:$D,"파워링크")</f>
        <v>158598</v>
      </c>
      <c r="H90" s="156">
        <f>SUMIFS('파워링크 RAW'!H:H,'파워링크 RAW'!$A:$A,파워링크_Summary!$B90,'파워링크 RAW'!$D:$D,"파워링크")</f>
        <v>4</v>
      </c>
      <c r="I90" s="17">
        <f t="shared" si="25"/>
        <v>0.16666666666666666</v>
      </c>
      <c r="J90" s="16">
        <f t="shared" si="26"/>
        <v>39649.5</v>
      </c>
    </row>
    <row r="91" spans="2:11" s="13" customFormat="1">
      <c r="B91" s="183" t="s">
        <v>734</v>
      </c>
      <c r="C91" s="170">
        <f>SUMIFS('파워링크 RAW'!E:E,'파워링크 RAW'!$A:$A,파워링크_Summary!$B91,'파워링크 RAW'!$D:$D,"파워링크")</f>
        <v>719</v>
      </c>
      <c r="D91" s="155">
        <f>SUMIFS('파워링크 RAW'!F:F,'파워링크 RAW'!$A:$A,파워링크_Summary!$B91,'파워링크 RAW'!$D:$D,"파워링크")</f>
        <v>18</v>
      </c>
      <c r="E91" s="17">
        <f t="shared" si="23"/>
        <v>2.5034770514603615E-2</v>
      </c>
      <c r="F91" s="16">
        <f t="shared" si="27"/>
        <v>6298.7222222222226</v>
      </c>
      <c r="G91" s="155">
        <f>SUMIFS('파워링크 RAW'!G:G,'파워링크 RAW'!$A:$A,파워링크_Summary!$B91,'파워링크 RAW'!$D:$D,"파워링크")</f>
        <v>113377</v>
      </c>
      <c r="H91" s="156">
        <f>SUMIFS('파워링크 RAW'!H:H,'파워링크 RAW'!$A:$A,파워링크_Summary!$B91,'파워링크 RAW'!$D:$D,"파워링크")</f>
        <v>1</v>
      </c>
      <c r="I91" s="17">
        <f t="shared" si="25"/>
        <v>5.5555555555555552E-2</v>
      </c>
      <c r="J91" s="16">
        <f t="shared" si="26"/>
        <v>113377</v>
      </c>
    </row>
    <row r="92" spans="2:11" s="201" customFormat="1">
      <c r="B92" s="195" t="s">
        <v>735</v>
      </c>
      <c r="C92" s="196">
        <f>SUMIFS('파워링크 RAW'!E:E,'파워링크 RAW'!$A:$A,파워링크_Summary!$B92,'파워링크 RAW'!$D:$D,"파워링크")</f>
        <v>233</v>
      </c>
      <c r="D92" s="197">
        <f>SUMIFS('파워링크 RAW'!F:F,'파워링크 RAW'!$A:$A,파워링크_Summary!$B92,'파워링크 RAW'!$D:$D,"파워링크")</f>
        <v>2</v>
      </c>
      <c r="E92" s="198">
        <f t="shared" si="23"/>
        <v>8.5836909871244635E-3</v>
      </c>
      <c r="F92" s="199">
        <f t="shared" si="27"/>
        <v>2178</v>
      </c>
      <c r="G92" s="197">
        <f>SUMIFS('파워링크 RAW'!G:G,'파워링크 RAW'!$A:$A,파워링크_Summary!$B92,'파워링크 RAW'!$D:$D,"파워링크")</f>
        <v>4356</v>
      </c>
      <c r="H92" s="200">
        <f>SUMIFS('파워링크 RAW'!H:H,'파워링크 RAW'!$A:$A,파워링크_Summary!$B92,'파워링크 RAW'!$D:$D,"파워링크")</f>
        <v>1</v>
      </c>
      <c r="I92" s="198">
        <f t="shared" si="25"/>
        <v>0.5</v>
      </c>
      <c r="J92" s="199">
        <f t="shared" si="26"/>
        <v>4356</v>
      </c>
    </row>
    <row r="93" spans="2:11" s="13" customFormat="1">
      <c r="B93" s="171" t="s">
        <v>740</v>
      </c>
      <c r="C93" s="172">
        <f>SUMIFS('파워링크 RAW'!E:E,'파워링크 RAW'!$A:$A,파워링크_Summary!$B93,'파워링크 RAW'!$D:$D,"파워링크")</f>
        <v>239</v>
      </c>
      <c r="D93" s="173">
        <f>SUMIFS('파워링크 RAW'!F:F,'파워링크 RAW'!$A:$A,파워링크_Summary!$B93,'파워링크 RAW'!$D:$D,"파워링크")</f>
        <v>7</v>
      </c>
      <c r="E93" s="174">
        <f t="shared" si="23"/>
        <v>2.9288702928870293E-2</v>
      </c>
      <c r="F93" s="175">
        <f t="shared" si="27"/>
        <v>3784</v>
      </c>
      <c r="G93" s="173">
        <f>SUMIFS('파워링크 RAW'!G:G,'파워링크 RAW'!$A:$A,파워링크_Summary!$B93,'파워링크 RAW'!$D:$D,"파워링크")</f>
        <v>26488</v>
      </c>
      <c r="H93" s="176">
        <f>SUMIFS('파워링크 RAW'!H:H,'파워링크 RAW'!$A:$A,파워링크_Summary!$B93,'파워링크 RAW'!$D:$D,"파워링크")</f>
        <v>0</v>
      </c>
      <c r="I93" s="174">
        <f t="shared" si="25"/>
        <v>0</v>
      </c>
      <c r="J93" s="175">
        <f t="shared" si="26"/>
        <v>0</v>
      </c>
    </row>
    <row r="94" spans="2:11" s="129" customFormat="1">
      <c r="B94" s="183" t="s">
        <v>759</v>
      </c>
      <c r="C94" s="170">
        <f>SUMIFS('파워링크 RAW'!E:E,'파워링크 RAW'!$A:$A,파워링크_Summary!$B94,'파워링크 RAW'!$D:$D,"파워링크")</f>
        <v>581</v>
      </c>
      <c r="D94" s="155">
        <f>SUMIFS('파워링크 RAW'!F:F,'파워링크 RAW'!$A:$A,파워링크_Summary!$B94,'파워링크 RAW'!$D:$D,"파워링크")</f>
        <v>10</v>
      </c>
      <c r="E94" s="17">
        <f t="shared" si="23"/>
        <v>1.7211703958691909E-2</v>
      </c>
      <c r="F94" s="16">
        <f t="shared" si="27"/>
        <v>6050</v>
      </c>
      <c r="G94" s="155">
        <f>SUMIFS('파워링크 RAW'!G:G,'파워링크 RAW'!$A:$A,파워링크_Summary!$B94,'파워링크 RAW'!$D:$D,"파워링크")</f>
        <v>60500</v>
      </c>
      <c r="H94" s="156">
        <f>SUMIFS('파워링크 RAW'!H:H,'파워링크 RAW'!$A:$A,파워링크_Summary!$B94,'파워링크 RAW'!$D:$D,"파워링크")</f>
        <v>2</v>
      </c>
      <c r="I94" s="17">
        <f t="shared" si="25"/>
        <v>0.2</v>
      </c>
      <c r="J94" s="16">
        <f t="shared" si="26"/>
        <v>30250</v>
      </c>
      <c r="K94" s="1"/>
    </row>
    <row r="95" spans="2:11" s="128" customFormat="1">
      <c r="B95" s="183" t="s">
        <v>747</v>
      </c>
      <c r="C95" s="170">
        <f>SUMIFS('파워링크 RAW'!E:E,'파워링크 RAW'!$A:$A,파워링크_Summary!$B95,'파워링크 RAW'!$D:$D,"파워링크")</f>
        <v>519</v>
      </c>
      <c r="D95" s="155">
        <f>SUMIFS('파워링크 RAW'!F:F,'파워링크 RAW'!$A:$A,파워링크_Summary!$B95,'파워링크 RAW'!$D:$D,"파워링크")</f>
        <v>17</v>
      </c>
      <c r="E95" s="17">
        <f t="shared" si="23"/>
        <v>3.2755298651252408E-2</v>
      </c>
      <c r="F95" s="16">
        <f t="shared" si="27"/>
        <v>5392.588235294118</v>
      </c>
      <c r="G95" s="155">
        <f>SUMIFS('파워링크 RAW'!G:G,'파워링크 RAW'!$A:$A,파워링크_Summary!$B95,'파워링크 RAW'!$D:$D,"파워링크")</f>
        <v>91674</v>
      </c>
      <c r="H95" s="156">
        <f>SUMIFS('파워링크 RAW'!H:H,'파워링크 RAW'!$A:$A,파워링크_Summary!$B95,'파워링크 RAW'!$D:$D,"파워링크")</f>
        <v>0</v>
      </c>
      <c r="I95" s="17">
        <f t="shared" si="25"/>
        <v>0</v>
      </c>
      <c r="J95" s="16">
        <f t="shared" si="26"/>
        <v>0</v>
      </c>
    </row>
    <row r="96" spans="2:11" s="129" customFormat="1">
      <c r="B96" s="183" t="s">
        <v>748</v>
      </c>
      <c r="C96" s="170">
        <f>SUMIFS('파워링크 RAW'!E:E,'파워링크 RAW'!$A:$A,파워링크_Summary!$B96,'파워링크 RAW'!$D:$D,"파워링크")</f>
        <v>727</v>
      </c>
      <c r="D96" s="155">
        <f>SUMIFS('파워링크 RAW'!F:F,'파워링크 RAW'!$A:$A,파워링크_Summary!$B96,'파워링크 RAW'!$D:$D,"파워링크")</f>
        <v>33</v>
      </c>
      <c r="E96" s="17">
        <f t="shared" si="23"/>
        <v>4.5392022008253097E-2</v>
      </c>
      <c r="F96" s="16">
        <f t="shared" si="27"/>
        <v>6041.333333333333</v>
      </c>
      <c r="G96" s="155">
        <f>SUMIFS('파워링크 RAW'!G:G,'파워링크 RAW'!$A:$A,파워링크_Summary!$B96,'파워링크 RAW'!$D:$D,"파워링크")</f>
        <v>199364</v>
      </c>
      <c r="H96" s="156">
        <f>SUMIFS('파워링크 RAW'!H:H,'파워링크 RAW'!$A:$A,파워링크_Summary!$B96,'파워링크 RAW'!$D:$D,"파워링크")</f>
        <v>6</v>
      </c>
      <c r="I96" s="17">
        <f t="shared" si="25"/>
        <v>0.18181818181818182</v>
      </c>
      <c r="J96" s="16">
        <f t="shared" si="26"/>
        <v>33227.333333333336</v>
      </c>
    </row>
    <row r="97" spans="2:11" s="18" customFormat="1">
      <c r="B97" s="183" t="s">
        <v>749</v>
      </c>
      <c r="C97" s="170">
        <f>SUMIFS('파워링크 RAW'!E:E,'파워링크 RAW'!$A:$A,파워링크_Summary!$B97,'파워링크 RAW'!$D:$D,"파워링크")</f>
        <v>593</v>
      </c>
      <c r="D97" s="155">
        <f>SUMIFS('파워링크 RAW'!F:F,'파워링크 RAW'!$A:$A,파워링크_Summary!$B97,'파워링크 RAW'!$D:$D,"파워링크")</f>
        <v>26</v>
      </c>
      <c r="E97" s="17">
        <f t="shared" si="23"/>
        <v>4.3844856661045532E-2</v>
      </c>
      <c r="F97" s="16">
        <f t="shared" si="27"/>
        <v>7616.6538461538457</v>
      </c>
      <c r="G97" s="155">
        <f>SUMIFS('파워링크 RAW'!G:G,'파워링크 RAW'!$A:$A,파워링크_Summary!$B97,'파워링크 RAW'!$D:$D,"파워링크")</f>
        <v>198033</v>
      </c>
      <c r="H97" s="156">
        <f>SUMIFS('파워링크 RAW'!H:H,'파워링크 RAW'!$A:$A,파워링크_Summary!$B97,'파워링크 RAW'!$D:$D,"파워링크")</f>
        <v>11</v>
      </c>
      <c r="I97" s="17">
        <f t="shared" si="25"/>
        <v>0.42307692307692307</v>
      </c>
      <c r="J97" s="16">
        <f t="shared" si="26"/>
        <v>18003</v>
      </c>
    </row>
    <row r="98" spans="2:11" s="13" customFormat="1">
      <c r="B98" s="183" t="s">
        <v>750</v>
      </c>
      <c r="C98" s="170">
        <f>SUMIFS('파워링크 RAW'!E:E,'파워링크 RAW'!$A:$A,파워링크_Summary!$B98,'파워링크 RAW'!$D:$D,"파워링크")</f>
        <v>654</v>
      </c>
      <c r="D98" s="155">
        <f>SUMIFS('파워링크 RAW'!F:F,'파워링크 RAW'!$A:$A,파워링크_Summary!$B98,'파워링크 RAW'!$D:$D,"파워링크")</f>
        <v>24</v>
      </c>
      <c r="E98" s="17">
        <f t="shared" ref="E98:E99" si="28">IFERROR(D98/C98,)</f>
        <v>3.669724770642202E-2</v>
      </c>
      <c r="F98" s="16">
        <f t="shared" ref="F98:F99" si="29">IFERROR(G98/D98,0)</f>
        <v>6307.583333333333</v>
      </c>
      <c r="G98" s="155">
        <f>SUMIFS('파워링크 RAW'!G:G,'파워링크 RAW'!$A:$A,파워링크_Summary!$B98,'파워링크 RAW'!$D:$D,"파워링크")</f>
        <v>151382</v>
      </c>
      <c r="H98" s="156">
        <f>SUMIFS('파워링크 RAW'!H:H,'파워링크 RAW'!$A:$A,파워링크_Summary!$B98,'파워링크 RAW'!$D:$D,"파워링크")</f>
        <v>8</v>
      </c>
      <c r="I98" s="17">
        <f t="shared" ref="I98:I99" si="30">IFERROR(H98/D98,0)</f>
        <v>0.33333333333333331</v>
      </c>
      <c r="J98" s="16">
        <f t="shared" ref="J98:J99" si="31">IFERROR(G98/H98,0)</f>
        <v>18922.75</v>
      </c>
    </row>
    <row r="99" spans="2:11" s="13" customFormat="1">
      <c r="B99" s="195" t="s">
        <v>760</v>
      </c>
      <c r="C99" s="196">
        <f>SUMIFS('파워링크 RAW'!E:E,'파워링크 RAW'!$A:$A,파워링크_Summary!$B99,'파워링크 RAW'!$D:$D,"파워링크")</f>
        <v>258</v>
      </c>
      <c r="D99" s="197">
        <f>SUMIFS('파워링크 RAW'!F:F,'파워링크 RAW'!$A:$A,파워링크_Summary!$B99,'파워링크 RAW'!$D:$D,"파워링크")</f>
        <v>5</v>
      </c>
      <c r="E99" s="198">
        <f t="shared" si="28"/>
        <v>1.937984496124031E-2</v>
      </c>
      <c r="F99" s="199">
        <f t="shared" si="29"/>
        <v>2778.6</v>
      </c>
      <c r="G99" s="197">
        <f>SUMIFS('파워링크 RAW'!G:G,'파워링크 RAW'!$A:$A,파워링크_Summary!$B99,'파워링크 RAW'!$D:$D,"파워링크")</f>
        <v>13893</v>
      </c>
      <c r="H99" s="200">
        <f>SUMIFS('파워링크 RAW'!H:H,'파워링크 RAW'!$A:$A,파워링크_Summary!$B99,'파워링크 RAW'!$D:$D,"파워링크")</f>
        <v>1</v>
      </c>
      <c r="I99" s="198">
        <f t="shared" si="30"/>
        <v>0.2</v>
      </c>
      <c r="J99" s="199">
        <f t="shared" si="31"/>
        <v>13893</v>
      </c>
    </row>
    <row r="100" spans="2:11" s="13" customFormat="1">
      <c r="B100" s="171" t="s">
        <v>761</v>
      </c>
      <c r="C100" s="172">
        <f>SUMIFS('파워링크 RAW'!E:E,'파워링크 RAW'!$A:$A,파워링크_Summary!$B100,'파워링크 RAW'!$D:$D,"파워링크")</f>
        <v>247</v>
      </c>
      <c r="D100" s="173">
        <f>SUMIFS('파워링크 RAW'!F:F,'파워링크 RAW'!$A:$A,파워링크_Summary!$B100,'파워링크 RAW'!$D:$D,"파워링크")</f>
        <v>8</v>
      </c>
      <c r="E100" s="174">
        <f t="shared" ref="E100" si="32">IFERROR(D100/C100,)</f>
        <v>3.2388663967611336E-2</v>
      </c>
      <c r="F100" s="175">
        <f t="shared" ref="F100" si="33">IFERROR(G100/D100,0)</f>
        <v>3609.375</v>
      </c>
      <c r="G100" s="173">
        <f>SUMIFS('파워링크 RAW'!G:G,'파워링크 RAW'!$A:$A,파워링크_Summary!$B100,'파워링크 RAW'!$D:$D,"파워링크")</f>
        <v>28875</v>
      </c>
      <c r="H100" s="176">
        <f>SUMIFS('파워링크 RAW'!H:H,'파워링크 RAW'!$A:$A,파워링크_Summary!$B100,'파워링크 RAW'!$D:$D,"파워링크")</f>
        <v>1</v>
      </c>
      <c r="I100" s="174">
        <f t="shared" ref="I100" si="34">IFERROR(H100/D100,0)</f>
        <v>0.125</v>
      </c>
      <c r="J100" s="175">
        <f t="shared" ref="J100" si="35">IFERROR(G100/H100,0)</f>
        <v>28875</v>
      </c>
    </row>
    <row r="101" spans="2:11"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3" spans="2:11">
      <c r="G103" s="26"/>
      <c r="H103" s="26"/>
    </row>
    <row r="105" spans="2:11">
      <c r="F105" s="25"/>
    </row>
  </sheetData>
  <mergeCells count="30">
    <mergeCell ref="B2:J2"/>
    <mergeCell ref="B33:B34"/>
    <mergeCell ref="C33:C34"/>
    <mergeCell ref="D33:D34"/>
    <mergeCell ref="E33:E34"/>
    <mergeCell ref="F33:F34"/>
    <mergeCell ref="G33:G34"/>
    <mergeCell ref="B44:B45"/>
    <mergeCell ref="C44:C45"/>
    <mergeCell ref="D44:D45"/>
    <mergeCell ref="E44:E45"/>
    <mergeCell ref="F44:F45"/>
    <mergeCell ref="B66:B67"/>
    <mergeCell ref="C66:C67"/>
    <mergeCell ref="D66:D67"/>
    <mergeCell ref="E66:E67"/>
    <mergeCell ref="F66:F67"/>
    <mergeCell ref="G66:G67"/>
    <mergeCell ref="H66:J66"/>
    <mergeCell ref="L9:V41"/>
    <mergeCell ref="G44:G45"/>
    <mergeCell ref="H44:J44"/>
    <mergeCell ref="G55:G56"/>
    <mergeCell ref="H55:J55"/>
    <mergeCell ref="H33:J33"/>
    <mergeCell ref="B55:B56"/>
    <mergeCell ref="C55:C56"/>
    <mergeCell ref="D55:D56"/>
    <mergeCell ref="E55:E56"/>
    <mergeCell ref="F55:F56"/>
  </mergeCells>
  <phoneticPr fontId="2" type="noConversion"/>
  <pageMargins left="0.7" right="0.7" top="0.75" bottom="0.75" header="0.3" footer="0.3"/>
  <pageSetup paperSize="9" orientation="portrait" r:id="rId1"/>
  <ignoredErrors>
    <ignoredError sqref="A68:B68 A4 A2 E68:F68 A35:A40 K28:K31 A99:A100 A64 K64:XFD64 A5:B5 A41:B41 A3:G3 C4:D4 A6:G31 A101:G1048576 A65:G65 B1:G1 K66:XFD68 K57:XFD61 A42 A57:A61 K34:K37 L79:XFD86 K39:K40 M65:XFD65 C33:D33 K42 A67:G67 A66 C66:D66 A34:D34 F66:G66 F33:G33 F34:G34 G4:G5 K5:XFD6 K99:XFD1048576 K8:XFD8 K7 M7:XFD7 W9:XFD41 P1:XFD2 Q3:XFD3 P4:U4 K69:L69 N69:XFD78 W4:XFD4 K71:L78 K70 D41:G41 A32:A33 C32:G32 K87:XFD97 A69:A97 M42:XFD4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2A87-F2E3-4BE5-9AF6-F197163F0E8A}">
  <sheetPr codeName="Sheet1">
    <tabColor theme="9" tint="0.39997558519241921"/>
  </sheetPr>
  <dimension ref="B1:M56"/>
  <sheetViews>
    <sheetView showGridLines="0" zoomScale="85" zoomScaleNormal="85" workbookViewId="0"/>
  </sheetViews>
  <sheetFormatPr defaultColWidth="11.625" defaultRowHeight="13.5"/>
  <cols>
    <col min="1" max="1" width="3.125" style="24" customWidth="1"/>
    <col min="2" max="2" width="30.25" style="24" bestFit="1" customWidth="1"/>
    <col min="3" max="3" width="17.875" style="24" bestFit="1" customWidth="1"/>
    <col min="4" max="11" width="11.625" style="24" customWidth="1"/>
    <col min="12" max="16384" width="11.625" style="24"/>
  </cols>
  <sheetData>
    <row r="1" spans="2:13" s="1" customFormat="1"/>
    <row r="2" spans="2:13" s="1" customFormat="1" ht="32.25" customHeight="1">
      <c r="B2" s="219" t="s">
        <v>28</v>
      </c>
      <c r="C2" s="219"/>
      <c r="D2" s="219"/>
      <c r="E2" s="219"/>
      <c r="F2" s="219"/>
      <c r="G2" s="219"/>
      <c r="H2" s="219"/>
      <c r="I2" s="219"/>
      <c r="J2" s="219"/>
      <c r="K2" s="219"/>
    </row>
    <row r="3" spans="2:13" s="1" customFormat="1" hidden="1">
      <c r="D3" s="19"/>
      <c r="M3" s="20"/>
    </row>
    <row r="4" spans="2:13" s="1" customFormat="1" hidden="1">
      <c r="B4" s="5" t="s">
        <v>55</v>
      </c>
      <c r="L4" s="20"/>
    </row>
    <row r="5" spans="2:13" s="1" customFormat="1" ht="16.5" hidden="1" customHeight="1">
      <c r="B5" s="224" t="s">
        <v>37</v>
      </c>
      <c r="C5" s="225"/>
      <c r="D5" s="206" t="s">
        <v>8</v>
      </c>
      <c r="E5" s="206" t="s">
        <v>9</v>
      </c>
      <c r="F5" s="206" t="s">
        <v>58</v>
      </c>
      <c r="G5" s="206" t="s">
        <v>11</v>
      </c>
      <c r="H5" s="206" t="s">
        <v>12</v>
      </c>
      <c r="I5" s="207" t="s">
        <v>13</v>
      </c>
      <c r="J5" s="208"/>
      <c r="K5" s="208"/>
      <c r="L5" s="20"/>
    </row>
    <row r="6" spans="2:13" s="1" customFormat="1" hidden="1">
      <c r="B6" s="226"/>
      <c r="C6" s="227"/>
      <c r="D6" s="206"/>
      <c r="E6" s="206"/>
      <c r="F6" s="206"/>
      <c r="G6" s="206"/>
      <c r="H6" s="206"/>
      <c r="I6" s="6" t="s">
        <v>43</v>
      </c>
      <c r="J6" s="7" t="s">
        <v>59</v>
      </c>
      <c r="K6" s="29" t="s">
        <v>44</v>
      </c>
      <c r="L6" s="20"/>
    </row>
    <row r="7" spans="2:13" s="1" customFormat="1" ht="16.5" hidden="1" customHeight="1">
      <c r="B7" s="228" t="s">
        <v>63</v>
      </c>
      <c r="C7" s="229"/>
      <c r="D7" s="22">
        <f>SUMIFS('파워링크 RAW'!E:E,'파워링크 RAW'!$D:$D,"파워링크",'파워링크 RAW'!$B:$B,파워링크_상세데이터!$B7)</f>
        <v>14861</v>
      </c>
      <c r="E7" s="22">
        <f>SUMIFS('파워링크 RAW'!F:F,'파워링크 RAW'!$D:$D,"파워링크",'파워링크 RAW'!$B:$B,파워링크_상세데이터!$B7)</f>
        <v>285</v>
      </c>
      <c r="F7" s="17">
        <f t="shared" ref="F7:F9" si="0">IFERROR(E7/D7,)</f>
        <v>1.9177713478231613E-2</v>
      </c>
      <c r="G7" s="16">
        <f t="shared" ref="G7:G9" si="1">IFERROR(H7/E7,0)</f>
        <v>7177.3649122807019</v>
      </c>
      <c r="H7" s="22">
        <f>SUMIFS('파워링크 RAW'!G:G,'파워링크 RAW'!$D:$D,"파워링크",'파워링크 RAW'!$B:$B,파워링크_상세데이터!$B7)</f>
        <v>2045549</v>
      </c>
      <c r="I7" s="22">
        <f>SUMIFS('파워링크 RAW'!H:H,'파워링크 RAW'!$D:$D,"파워링크",'파워링크 RAW'!$B:$B,파워링크_상세데이터!$B7)</f>
        <v>55</v>
      </c>
      <c r="J7" s="8">
        <f>IFERROR(I7/E7,0)</f>
        <v>0.19298245614035087</v>
      </c>
      <c r="K7" s="2">
        <f>IFERROR(H7/I7,0)</f>
        <v>37191.800000000003</v>
      </c>
      <c r="L7" s="20"/>
    </row>
    <row r="8" spans="2:13" s="1" customFormat="1" ht="16.5" hidden="1" customHeight="1">
      <c r="B8" s="230" t="s">
        <v>65</v>
      </c>
      <c r="C8" s="231"/>
      <c r="D8" s="22">
        <f>SUMIFS('파워링크 RAW'!E:E,'파워링크 RAW'!$D:$D,"파워링크",'파워링크 RAW'!$B:$B,파워링크_상세데이터!$B8)</f>
        <v>29569</v>
      </c>
      <c r="E8" s="22">
        <f>SUMIFS('파워링크 RAW'!F:F,'파워링크 RAW'!$D:$D,"파워링크",'파워링크 RAW'!$B:$B,파워링크_상세데이터!$B8)</f>
        <v>810</v>
      </c>
      <c r="F8" s="17">
        <f t="shared" si="0"/>
        <v>2.7393554059995266E-2</v>
      </c>
      <c r="G8" s="16">
        <f t="shared" si="1"/>
        <v>7181.6827160493831</v>
      </c>
      <c r="H8" s="22">
        <f>SUMIFS('파워링크 RAW'!G:G,'파워링크 RAW'!$D:$D,"파워링크",'파워링크 RAW'!$B:$B,파워링크_상세데이터!$B8)</f>
        <v>5817163</v>
      </c>
      <c r="I8" s="22">
        <f>SUMIFS('파워링크 RAW'!H:H,'파워링크 RAW'!$D:$D,"파워링크",'파워링크 RAW'!$B:$B,파워링크_상세데이터!$B8)</f>
        <v>162</v>
      </c>
      <c r="J8" s="8">
        <f t="shared" ref="J8" si="2">IFERROR(I8/E8,0)</f>
        <v>0.2</v>
      </c>
      <c r="K8" s="2">
        <f t="shared" ref="K8" si="3">IFERROR(H8/I8,0)</f>
        <v>35908.41358024691</v>
      </c>
      <c r="L8" s="20"/>
    </row>
    <row r="9" spans="2:13" s="1" customFormat="1" ht="16.5" hidden="1" customHeight="1">
      <c r="B9" s="220" t="s">
        <v>17</v>
      </c>
      <c r="C9" s="221"/>
      <c r="D9" s="10">
        <f>SUM(D7:D8)</f>
        <v>44430</v>
      </c>
      <c r="E9" s="10">
        <f>SUM(E7:E8)</f>
        <v>1095</v>
      </c>
      <c r="F9" s="11">
        <f t="shared" si="0"/>
        <v>2.4645509790681971E-2</v>
      </c>
      <c r="G9" s="10">
        <f t="shared" si="1"/>
        <v>7180.5589041095891</v>
      </c>
      <c r="H9" s="10">
        <f>SUM(H7:H8)</f>
        <v>7862712</v>
      </c>
      <c r="I9" s="10">
        <f>SUM(I7:I8)</f>
        <v>217</v>
      </c>
      <c r="J9" s="11">
        <f>IFERROR(I9/E9,0)</f>
        <v>0.19817351598173516</v>
      </c>
      <c r="K9" s="10">
        <f>IFERROR(H9/I9,0)</f>
        <v>36233.695852534562</v>
      </c>
      <c r="L9" s="20"/>
    </row>
    <row r="10" spans="2:13" s="1" customFormat="1">
      <c r="C10" s="19"/>
      <c r="L10" s="20"/>
    </row>
    <row r="11" spans="2:13" s="1" customFormat="1">
      <c r="B11" s="5" t="s">
        <v>39</v>
      </c>
      <c r="D11" s="21"/>
    </row>
    <row r="12" spans="2:13" s="1" customFormat="1">
      <c r="B12" s="224" t="s">
        <v>37</v>
      </c>
      <c r="C12" s="225"/>
      <c r="D12" s="206" t="s">
        <v>8</v>
      </c>
      <c r="E12" s="206" t="s">
        <v>9</v>
      </c>
      <c r="F12" s="206" t="s">
        <v>58</v>
      </c>
      <c r="G12" s="206" t="s">
        <v>11</v>
      </c>
      <c r="H12" s="206" t="s">
        <v>12</v>
      </c>
      <c r="I12" s="207" t="s">
        <v>13</v>
      </c>
      <c r="J12" s="208"/>
      <c r="K12" s="208"/>
      <c r="L12" s="20"/>
    </row>
    <row r="13" spans="2:13" s="1" customFormat="1">
      <c r="B13" s="226"/>
      <c r="C13" s="227"/>
      <c r="D13" s="206"/>
      <c r="E13" s="206"/>
      <c r="F13" s="206"/>
      <c r="G13" s="206"/>
      <c r="H13" s="206"/>
      <c r="I13" s="6" t="s">
        <v>43</v>
      </c>
      <c r="J13" s="7" t="s">
        <v>59</v>
      </c>
      <c r="K13" s="29" t="s">
        <v>44</v>
      </c>
    </row>
    <row r="14" spans="2:13" s="1" customFormat="1" ht="16.5" customHeight="1">
      <c r="B14" s="228" t="s">
        <v>566</v>
      </c>
      <c r="C14" s="229"/>
      <c r="D14" s="22">
        <f>SUMIF($B$23:$B$48,$B14,D$23:D$48)</f>
        <v>1539</v>
      </c>
      <c r="E14" s="22">
        <f>SUMIF($B$23:$B$48,$B14,E$23:E$48)</f>
        <v>61</v>
      </c>
      <c r="F14" s="17">
        <f t="shared" ref="F14:F17" si="4">IFERROR(E14/D14,)</f>
        <v>3.9636127355425599E-2</v>
      </c>
      <c r="G14" s="16">
        <f t="shared" ref="G14:G17" si="5">IFERROR(H14/E14,0)</f>
        <v>7498.9344262295081</v>
      </c>
      <c r="H14" s="22">
        <f>SUMIF($B$23:$B$48,$B14,H$23:H$48)</f>
        <v>457435</v>
      </c>
      <c r="I14" s="22">
        <f>SUMIF($B$23:$B$48,$B14,I$23:I$48)</f>
        <v>19</v>
      </c>
      <c r="J14" s="8">
        <f>IFERROR(I14/E14,0)</f>
        <v>0.31147540983606559</v>
      </c>
      <c r="K14" s="2">
        <f>IFERROR(H14/I14,0)</f>
        <v>24075.526315789473</v>
      </c>
    </row>
    <row r="15" spans="2:13" s="1" customFormat="1" ht="16.5" hidden="1" customHeight="1">
      <c r="B15" s="230" t="s">
        <v>82</v>
      </c>
      <c r="C15" s="231"/>
      <c r="D15" s="22">
        <f>SUMIFS('파워링크 RAW'!E:E,'파워링크 RAW'!$D:$D,"파워링크",'파워링크 RAW'!$C:$C,파워링크_상세데이터!$B15)</f>
        <v>0</v>
      </c>
      <c r="E15" s="22">
        <f>SUMIFS('파워링크 RAW'!F:F,'파워링크 RAW'!$D:$D,"파워링크",'파워링크 RAW'!$C:$C,파워링크_상세데이터!$B15)</f>
        <v>0</v>
      </c>
      <c r="F15" s="17">
        <f t="shared" si="4"/>
        <v>0</v>
      </c>
      <c r="G15" s="16">
        <f t="shared" si="5"/>
        <v>0</v>
      </c>
      <c r="H15" s="22">
        <f>SUMIFS('파워링크 RAW'!I:I,'파워링크 RAW'!$D:$D,"파워링크",'파워링크 RAW'!$C:$C,파워링크_상세데이터!$B15)</f>
        <v>0</v>
      </c>
      <c r="I15" s="22">
        <f>SUMIFS('파워링크 RAW'!J:J,'파워링크 RAW'!$D:$D,"파워링크",'파워링크 RAW'!$C:$C,파워링크_상세데이터!$B15)</f>
        <v>0</v>
      </c>
      <c r="J15" s="8">
        <f t="shared" ref="J15:J17" si="6">IFERROR(I15/E15,0)</f>
        <v>0</v>
      </c>
      <c r="K15" s="2">
        <f t="shared" ref="K15:K17" si="7">IFERROR(H15/I15,0)</f>
        <v>0</v>
      </c>
      <c r="L15" s="33"/>
      <c r="M15" s="20"/>
    </row>
    <row r="16" spans="2:13" s="1" customFormat="1" ht="16.5" customHeight="1">
      <c r="B16" s="230" t="s">
        <v>567</v>
      </c>
      <c r="C16" s="231"/>
      <c r="D16" s="22">
        <f>SUMIF($B$23:$B$48,$B16,D$23:D$48)</f>
        <v>2040</v>
      </c>
      <c r="E16" s="22">
        <f>SUMIF($B$23:$B$48,$B16,E$23:E$48)</f>
        <v>62</v>
      </c>
      <c r="F16" s="17">
        <f t="shared" si="4"/>
        <v>3.0392156862745098E-2</v>
      </c>
      <c r="G16" s="16">
        <f t="shared" si="5"/>
        <v>4617.5161290322585</v>
      </c>
      <c r="H16" s="22">
        <f>SUMIF($B$23:$B$48,$B16,H$23:H$48)</f>
        <v>286286</v>
      </c>
      <c r="I16" s="22">
        <f>SUMIF($B$23:$B$48,$B16,I$23:I$48)</f>
        <v>10</v>
      </c>
      <c r="J16" s="8">
        <f t="shared" si="6"/>
        <v>0.16129032258064516</v>
      </c>
      <c r="K16" s="2">
        <f t="shared" si="7"/>
        <v>28628.6</v>
      </c>
      <c r="L16" s="33"/>
      <c r="M16" s="20"/>
    </row>
    <row r="17" spans="2:13" s="1" customFormat="1" ht="16.5" hidden="1" customHeight="1">
      <c r="B17" s="230" t="s">
        <v>355</v>
      </c>
      <c r="C17" s="231"/>
      <c r="D17" s="22">
        <f>SUMIFS('파워링크 RAW'!E:E,'파워링크 RAW'!$D:$D,"파워링크",'파워링크 RAW'!$C:$C,파워링크_상세데이터!$B17)</f>
        <v>0</v>
      </c>
      <c r="E17" s="22">
        <f>SUMIFS('파워링크 RAW'!F:F,'파워링크 RAW'!$D:$D,"파워링크",'파워링크 RAW'!$C:$C,파워링크_상세데이터!$B17)</f>
        <v>0</v>
      </c>
      <c r="F17" s="17">
        <f t="shared" si="4"/>
        <v>0</v>
      </c>
      <c r="G17" s="16">
        <f t="shared" si="5"/>
        <v>0</v>
      </c>
      <c r="H17" s="22">
        <f>SUMIFS('파워링크 RAW'!G:G,'파워링크 RAW'!$D:$D,"파워링크",'파워링크 RAW'!$C:$C,파워링크_상세데이터!$B17)</f>
        <v>0</v>
      </c>
      <c r="I17" s="22">
        <f>SUMIFS('파워링크 RAW'!H:H,'파워링크 RAW'!$D:$D,"파워링크",'파워링크 RAW'!$C:$C,파워링크_상세데이터!$B17)</f>
        <v>0</v>
      </c>
      <c r="J17" s="8">
        <f t="shared" si="6"/>
        <v>0</v>
      </c>
      <c r="K17" s="2">
        <f t="shared" si="7"/>
        <v>0</v>
      </c>
      <c r="L17" s="33"/>
      <c r="M17" s="20"/>
    </row>
    <row r="18" spans="2:13" s="1" customFormat="1">
      <c r="B18" s="220" t="s">
        <v>17</v>
      </c>
      <c r="C18" s="221"/>
      <c r="D18" s="10">
        <f>SUM(D14:D17)</f>
        <v>3579</v>
      </c>
      <c r="E18" s="10">
        <f>SUM(E14:E17)</f>
        <v>123</v>
      </c>
      <c r="F18" s="11">
        <f t="shared" ref="F18" si="8">IFERROR(E18/D18,)</f>
        <v>3.4367141659681473E-2</v>
      </c>
      <c r="G18" s="10">
        <f t="shared" ref="G18" si="9">IFERROR(H18/E18,0)</f>
        <v>6046.5121951219517</v>
      </c>
      <c r="H18" s="10">
        <f>SUM(H14:H17)</f>
        <v>743721</v>
      </c>
      <c r="I18" s="10">
        <f>SUM(I14:I17)</f>
        <v>29</v>
      </c>
      <c r="J18" s="11">
        <f>IFERROR(I18/E18,0)</f>
        <v>0.23577235772357724</v>
      </c>
      <c r="K18" s="10">
        <f>IFERROR(H18/I18,0)</f>
        <v>25645.551724137931</v>
      </c>
    </row>
    <row r="19" spans="2:13" s="1" customFormat="1"/>
    <row r="20" spans="2:13" s="1" customFormat="1" ht="13.5" customHeight="1">
      <c r="B20" s="5" t="s">
        <v>61</v>
      </c>
      <c r="K20" s="49" t="s">
        <v>68</v>
      </c>
    </row>
    <row r="21" spans="2:13" s="1" customFormat="1" ht="13.5" customHeight="1">
      <c r="B21" s="204" t="s">
        <v>37</v>
      </c>
      <c r="C21" s="204" t="s">
        <v>66</v>
      </c>
      <c r="D21" s="206" t="s">
        <v>8</v>
      </c>
      <c r="E21" s="206" t="s">
        <v>9</v>
      </c>
      <c r="F21" s="206" t="s">
        <v>58</v>
      </c>
      <c r="G21" s="206" t="s">
        <v>11</v>
      </c>
      <c r="H21" s="206" t="s">
        <v>12</v>
      </c>
      <c r="I21" s="207" t="s">
        <v>13</v>
      </c>
      <c r="J21" s="208"/>
      <c r="K21" s="208"/>
    </row>
    <row r="22" spans="2:13" s="1" customFormat="1" ht="13.5" customHeight="1">
      <c r="B22" s="204"/>
      <c r="C22" s="204"/>
      <c r="D22" s="206"/>
      <c r="E22" s="206"/>
      <c r="F22" s="206"/>
      <c r="G22" s="206"/>
      <c r="H22" s="206"/>
      <c r="I22" s="6" t="s">
        <v>43</v>
      </c>
      <c r="J22" s="7" t="s">
        <v>59</v>
      </c>
      <c r="K22" s="29" t="s">
        <v>44</v>
      </c>
    </row>
    <row r="23" spans="2:13" s="1" customFormat="1" ht="19.5" customHeight="1">
      <c r="B23" s="4" t="s">
        <v>565</v>
      </c>
      <c r="C23" s="4" t="s">
        <v>541</v>
      </c>
      <c r="D23" s="23">
        <v>990</v>
      </c>
      <c r="E23" s="23">
        <v>33</v>
      </c>
      <c r="F23" s="17">
        <f t="shared" ref="F23" si="10">IFERROR(E23/D23,)</f>
        <v>3.3333333333333333E-2</v>
      </c>
      <c r="G23" s="16">
        <f t="shared" ref="G23" si="11">IFERROR(H23/E23,0)</f>
        <v>5630.666666666667</v>
      </c>
      <c r="H23" s="23">
        <v>185812</v>
      </c>
      <c r="I23" s="23">
        <v>4</v>
      </c>
      <c r="J23" s="8">
        <f t="shared" ref="J23" si="12">IFERROR(I23/E23,0)</f>
        <v>0.12121212121212122</v>
      </c>
      <c r="K23" s="2">
        <f t="shared" ref="K23" si="13">IFERROR(H23/I23,0)</f>
        <v>46453</v>
      </c>
    </row>
    <row r="24" spans="2:13" s="1" customFormat="1" ht="19.5" customHeight="1">
      <c r="B24" s="4" t="s">
        <v>564</v>
      </c>
      <c r="C24" s="4" t="s">
        <v>543</v>
      </c>
      <c r="D24" s="23">
        <v>344</v>
      </c>
      <c r="E24" s="23">
        <v>11</v>
      </c>
      <c r="F24" s="17">
        <f t="shared" ref="F24:F40" si="14">IFERROR(E24/D24,)</f>
        <v>3.1976744186046513E-2</v>
      </c>
      <c r="G24" s="16">
        <f t="shared" ref="G24:G40" si="15">IFERROR(H24/E24,0)</f>
        <v>14353</v>
      </c>
      <c r="H24" s="23">
        <v>157883</v>
      </c>
      <c r="I24" s="23">
        <v>2</v>
      </c>
      <c r="J24" s="8">
        <f t="shared" ref="J24:J40" si="16">IFERROR(I24/E24,0)</f>
        <v>0.18181818181818182</v>
      </c>
      <c r="K24" s="2">
        <f t="shared" ref="K24:K40" si="17">IFERROR(H24/I24,0)</f>
        <v>78941.5</v>
      </c>
    </row>
    <row r="25" spans="2:13" s="1" customFormat="1" ht="19.5" customHeight="1">
      <c r="B25" s="4" t="s">
        <v>564</v>
      </c>
      <c r="C25" s="4" t="s">
        <v>540</v>
      </c>
      <c r="D25" s="23">
        <v>310</v>
      </c>
      <c r="E25" s="23">
        <v>19</v>
      </c>
      <c r="F25" s="17">
        <f t="shared" si="14"/>
        <v>6.1290322580645158E-2</v>
      </c>
      <c r="G25" s="16">
        <f t="shared" si="15"/>
        <v>8110.4736842105267</v>
      </c>
      <c r="H25" s="23">
        <v>154099</v>
      </c>
      <c r="I25" s="23">
        <v>9</v>
      </c>
      <c r="J25" s="8">
        <f t="shared" si="16"/>
        <v>0.47368421052631576</v>
      </c>
      <c r="K25" s="2">
        <f t="shared" si="17"/>
        <v>17122.111111111109</v>
      </c>
    </row>
    <row r="26" spans="2:13" s="1" customFormat="1" ht="19.5" customHeight="1">
      <c r="B26" s="4" t="s">
        <v>565</v>
      </c>
      <c r="C26" s="4" t="s">
        <v>548</v>
      </c>
      <c r="D26" s="23">
        <v>312</v>
      </c>
      <c r="E26" s="23">
        <v>13</v>
      </c>
      <c r="F26" s="17">
        <f t="shared" si="14"/>
        <v>4.1666666666666664E-2</v>
      </c>
      <c r="G26" s="16">
        <f t="shared" si="15"/>
        <v>5754.6923076923076</v>
      </c>
      <c r="H26" s="23">
        <v>74811</v>
      </c>
      <c r="I26" s="23">
        <v>2</v>
      </c>
      <c r="J26" s="8">
        <f t="shared" si="16"/>
        <v>0.15384615384615385</v>
      </c>
      <c r="K26" s="2">
        <f t="shared" si="17"/>
        <v>37405.5</v>
      </c>
    </row>
    <row r="27" spans="2:13" s="1" customFormat="1" ht="19.5" customHeight="1">
      <c r="B27" s="4" t="s">
        <v>564</v>
      </c>
      <c r="C27" s="4" t="s">
        <v>542</v>
      </c>
      <c r="D27" s="23">
        <v>207</v>
      </c>
      <c r="E27" s="23">
        <v>15</v>
      </c>
      <c r="F27" s="17">
        <f t="shared" si="14"/>
        <v>7.2463768115942032E-2</v>
      </c>
      <c r="G27" s="16">
        <f t="shared" si="15"/>
        <v>3863.2</v>
      </c>
      <c r="H27" s="23">
        <v>57948</v>
      </c>
      <c r="I27" s="23">
        <v>1</v>
      </c>
      <c r="J27" s="8">
        <f t="shared" si="16"/>
        <v>6.6666666666666666E-2</v>
      </c>
      <c r="K27" s="2">
        <f t="shared" si="17"/>
        <v>57948</v>
      </c>
    </row>
    <row r="28" spans="2:13" s="1" customFormat="1" ht="19.5" customHeight="1">
      <c r="B28" s="4" t="s">
        <v>564</v>
      </c>
      <c r="C28" s="4" t="s">
        <v>545</v>
      </c>
      <c r="D28" s="23">
        <v>258</v>
      </c>
      <c r="E28" s="23">
        <v>3</v>
      </c>
      <c r="F28" s="17">
        <f t="shared" si="14"/>
        <v>1.1627906976744186E-2</v>
      </c>
      <c r="G28" s="16">
        <f t="shared" si="15"/>
        <v>8499.3333333333339</v>
      </c>
      <c r="H28" s="23">
        <v>25498</v>
      </c>
      <c r="I28" s="23">
        <v>3</v>
      </c>
      <c r="J28" s="8">
        <f t="shared" si="16"/>
        <v>1</v>
      </c>
      <c r="K28" s="2">
        <f t="shared" si="17"/>
        <v>8499.3333333333339</v>
      </c>
    </row>
    <row r="29" spans="2:13" s="1" customFormat="1" ht="19.5" customHeight="1">
      <c r="B29" s="4" t="s">
        <v>564</v>
      </c>
      <c r="C29" s="4" t="s">
        <v>551</v>
      </c>
      <c r="D29" s="23">
        <v>28</v>
      </c>
      <c r="E29" s="23">
        <v>4</v>
      </c>
      <c r="F29" s="17">
        <f t="shared" si="14"/>
        <v>0.14285714285714285</v>
      </c>
      <c r="G29" s="16">
        <f t="shared" si="15"/>
        <v>4900.5</v>
      </c>
      <c r="H29" s="23">
        <v>19602</v>
      </c>
      <c r="I29" s="23">
        <v>1</v>
      </c>
      <c r="J29" s="8">
        <f t="shared" si="16"/>
        <v>0.25</v>
      </c>
      <c r="K29" s="2">
        <f t="shared" si="17"/>
        <v>19602</v>
      </c>
    </row>
    <row r="30" spans="2:13" s="1" customFormat="1" ht="19.5" customHeight="1">
      <c r="B30" s="4" t="s">
        <v>564</v>
      </c>
      <c r="C30" s="4" t="s">
        <v>544</v>
      </c>
      <c r="D30" s="23">
        <v>106</v>
      </c>
      <c r="E30" s="23">
        <v>3</v>
      </c>
      <c r="F30" s="17">
        <f t="shared" si="14"/>
        <v>2.8301886792452831E-2</v>
      </c>
      <c r="G30" s="16">
        <f t="shared" si="15"/>
        <v>5650.333333333333</v>
      </c>
      <c r="H30" s="23">
        <v>16951</v>
      </c>
      <c r="I30" s="23">
        <v>1</v>
      </c>
      <c r="J30" s="8">
        <f t="shared" si="16"/>
        <v>0.33333333333333331</v>
      </c>
      <c r="K30" s="2">
        <f t="shared" si="17"/>
        <v>16951</v>
      </c>
    </row>
    <row r="31" spans="2:13" s="1" customFormat="1" ht="19.5" customHeight="1">
      <c r="B31" s="4" t="s">
        <v>564</v>
      </c>
      <c r="C31" s="4" t="s">
        <v>547</v>
      </c>
      <c r="D31" s="23">
        <v>53</v>
      </c>
      <c r="E31" s="23">
        <v>3</v>
      </c>
      <c r="F31" s="17">
        <f t="shared" si="14"/>
        <v>5.6603773584905662E-2</v>
      </c>
      <c r="G31" s="16">
        <f t="shared" si="15"/>
        <v>4847.333333333333</v>
      </c>
      <c r="H31" s="23">
        <v>14542</v>
      </c>
      <c r="I31" s="23">
        <v>0</v>
      </c>
      <c r="J31" s="8">
        <f t="shared" si="16"/>
        <v>0</v>
      </c>
      <c r="K31" s="2">
        <f t="shared" si="17"/>
        <v>0</v>
      </c>
    </row>
    <row r="32" spans="2:13" s="1" customFormat="1" ht="19.5" customHeight="1">
      <c r="B32" s="4" t="s">
        <v>565</v>
      </c>
      <c r="C32" s="4" t="s">
        <v>546</v>
      </c>
      <c r="D32" s="23">
        <v>315</v>
      </c>
      <c r="E32" s="23">
        <v>3</v>
      </c>
      <c r="F32" s="17">
        <f t="shared" si="14"/>
        <v>9.5238095238095247E-3</v>
      </c>
      <c r="G32" s="16">
        <f t="shared" si="15"/>
        <v>3446.6666666666665</v>
      </c>
      <c r="H32" s="23">
        <v>10340</v>
      </c>
      <c r="I32" s="23">
        <v>1</v>
      </c>
      <c r="J32" s="8">
        <f t="shared" si="16"/>
        <v>0.33333333333333331</v>
      </c>
      <c r="K32" s="2">
        <f t="shared" si="17"/>
        <v>10340</v>
      </c>
    </row>
    <row r="33" spans="2:11" s="1" customFormat="1" ht="19.5" customHeight="1">
      <c r="B33" s="4" t="s">
        <v>564</v>
      </c>
      <c r="C33" s="4" t="s">
        <v>549</v>
      </c>
      <c r="D33" s="23">
        <v>176</v>
      </c>
      <c r="E33" s="23">
        <v>1</v>
      </c>
      <c r="F33" s="17">
        <f t="shared" si="14"/>
        <v>5.681818181818182E-3</v>
      </c>
      <c r="G33" s="16">
        <f t="shared" si="15"/>
        <v>7876</v>
      </c>
      <c r="H33" s="23">
        <v>7876</v>
      </c>
      <c r="I33" s="23">
        <v>0</v>
      </c>
      <c r="J33" s="8">
        <f t="shared" si="16"/>
        <v>0</v>
      </c>
      <c r="K33" s="2">
        <f t="shared" si="17"/>
        <v>0</v>
      </c>
    </row>
    <row r="34" spans="2:11" s="1" customFormat="1" ht="19.5" customHeight="1">
      <c r="B34" s="4" t="s">
        <v>565</v>
      </c>
      <c r="C34" s="4" t="s">
        <v>558</v>
      </c>
      <c r="D34" s="23">
        <v>14</v>
      </c>
      <c r="E34" s="23">
        <v>1</v>
      </c>
      <c r="F34" s="17">
        <f t="shared" si="14"/>
        <v>7.1428571428571425E-2</v>
      </c>
      <c r="G34" s="16">
        <f t="shared" si="15"/>
        <v>4884</v>
      </c>
      <c r="H34" s="23">
        <v>4884</v>
      </c>
      <c r="I34" s="23">
        <v>0</v>
      </c>
      <c r="J34" s="8">
        <f t="shared" si="16"/>
        <v>0</v>
      </c>
      <c r="K34" s="2">
        <f t="shared" si="17"/>
        <v>0</v>
      </c>
    </row>
    <row r="35" spans="2:11" s="1" customFormat="1" ht="19.5" customHeight="1">
      <c r="B35" s="4" t="s">
        <v>565</v>
      </c>
      <c r="C35" s="4" t="s">
        <v>560</v>
      </c>
      <c r="D35" s="23">
        <v>60</v>
      </c>
      <c r="E35" s="23">
        <v>1</v>
      </c>
      <c r="F35" s="17">
        <f t="shared" si="14"/>
        <v>1.6666666666666666E-2</v>
      </c>
      <c r="G35" s="16">
        <f t="shared" si="15"/>
        <v>3388</v>
      </c>
      <c r="H35" s="23">
        <v>3388</v>
      </c>
      <c r="I35" s="23">
        <v>0</v>
      </c>
      <c r="J35" s="8">
        <f t="shared" si="16"/>
        <v>0</v>
      </c>
      <c r="K35" s="2">
        <f t="shared" si="17"/>
        <v>0</v>
      </c>
    </row>
    <row r="36" spans="2:11" s="1" customFormat="1" ht="19.5" customHeight="1">
      <c r="B36" s="4" t="s">
        <v>564</v>
      </c>
      <c r="C36" s="4" t="s">
        <v>605</v>
      </c>
      <c r="D36" s="23">
        <v>12</v>
      </c>
      <c r="E36" s="23">
        <v>2</v>
      </c>
      <c r="F36" s="17">
        <f t="shared" si="14"/>
        <v>0.16666666666666666</v>
      </c>
      <c r="G36" s="16">
        <f t="shared" si="15"/>
        <v>1518</v>
      </c>
      <c r="H36" s="23">
        <v>3036</v>
      </c>
      <c r="I36" s="23">
        <v>2</v>
      </c>
      <c r="J36" s="8">
        <f t="shared" si="16"/>
        <v>1</v>
      </c>
      <c r="K36" s="2">
        <f t="shared" si="17"/>
        <v>1518</v>
      </c>
    </row>
    <row r="37" spans="2:11" s="1" customFormat="1" ht="19.5" customHeight="1">
      <c r="B37" s="4" t="s">
        <v>565</v>
      </c>
      <c r="C37" s="4" t="s">
        <v>553</v>
      </c>
      <c r="D37" s="23">
        <v>37</v>
      </c>
      <c r="E37" s="23">
        <v>3</v>
      </c>
      <c r="F37" s="17">
        <f t="shared" si="14"/>
        <v>8.1081081081081086E-2</v>
      </c>
      <c r="G37" s="16">
        <f t="shared" si="15"/>
        <v>836</v>
      </c>
      <c r="H37" s="23">
        <v>2508</v>
      </c>
      <c r="I37" s="23">
        <v>0</v>
      </c>
      <c r="J37" s="8">
        <f t="shared" si="16"/>
        <v>0</v>
      </c>
      <c r="K37" s="2">
        <f t="shared" si="17"/>
        <v>0</v>
      </c>
    </row>
    <row r="38" spans="2:11" s="1" customFormat="1" ht="19.5" customHeight="1">
      <c r="B38" s="4" t="s">
        <v>565</v>
      </c>
      <c r="C38" s="4" t="s">
        <v>613</v>
      </c>
      <c r="D38" s="23">
        <v>62</v>
      </c>
      <c r="E38" s="23">
        <v>2</v>
      </c>
      <c r="F38" s="17">
        <f t="shared" si="14"/>
        <v>3.2258064516129031E-2</v>
      </c>
      <c r="G38" s="16">
        <f t="shared" si="15"/>
        <v>902</v>
      </c>
      <c r="H38" s="23">
        <v>1804</v>
      </c>
      <c r="I38" s="23">
        <v>1</v>
      </c>
      <c r="J38" s="8">
        <f t="shared" si="16"/>
        <v>0.5</v>
      </c>
      <c r="K38" s="2">
        <f t="shared" si="17"/>
        <v>1804</v>
      </c>
    </row>
    <row r="39" spans="2:11" s="1" customFormat="1" ht="19.5" customHeight="1">
      <c r="B39" s="4" t="s">
        <v>565</v>
      </c>
      <c r="C39" s="4" t="s">
        <v>552</v>
      </c>
      <c r="D39" s="23">
        <v>55</v>
      </c>
      <c r="E39" s="23">
        <v>3</v>
      </c>
      <c r="F39" s="17">
        <f t="shared" si="14"/>
        <v>5.4545454545454543E-2</v>
      </c>
      <c r="G39" s="16">
        <f t="shared" si="15"/>
        <v>388.66666666666669</v>
      </c>
      <c r="H39" s="23">
        <v>1166</v>
      </c>
      <c r="I39" s="23">
        <v>0</v>
      </c>
      <c r="J39" s="8">
        <f t="shared" si="16"/>
        <v>0</v>
      </c>
      <c r="K39" s="2">
        <f t="shared" si="17"/>
        <v>0</v>
      </c>
    </row>
    <row r="40" spans="2:11" s="1" customFormat="1" ht="19.5" customHeight="1">
      <c r="B40" s="4" t="s">
        <v>565</v>
      </c>
      <c r="C40" s="4" t="s">
        <v>555</v>
      </c>
      <c r="D40" s="23">
        <v>7</v>
      </c>
      <c r="E40" s="23">
        <v>1</v>
      </c>
      <c r="F40" s="17">
        <f t="shared" si="14"/>
        <v>0.14285714285714285</v>
      </c>
      <c r="G40" s="16">
        <f t="shared" si="15"/>
        <v>990</v>
      </c>
      <c r="H40" s="23">
        <v>990</v>
      </c>
      <c r="I40" s="23">
        <v>0</v>
      </c>
      <c r="J40" s="8">
        <f t="shared" si="16"/>
        <v>0</v>
      </c>
      <c r="K40" s="2">
        <f t="shared" si="17"/>
        <v>0</v>
      </c>
    </row>
    <row r="41" spans="2:11" s="1" customFormat="1" ht="19.5" customHeight="1">
      <c r="B41" s="4" t="s">
        <v>565</v>
      </c>
      <c r="C41" s="4" t="s">
        <v>554</v>
      </c>
      <c r="D41" s="23">
        <v>42</v>
      </c>
      <c r="E41" s="23">
        <v>2</v>
      </c>
      <c r="F41" s="17">
        <f t="shared" ref="F41" si="18">IFERROR(E41/D41,)</f>
        <v>4.7619047619047616E-2</v>
      </c>
      <c r="G41" s="16">
        <f t="shared" ref="G41" si="19">IFERROR(H41/E41,0)</f>
        <v>291.5</v>
      </c>
      <c r="H41" s="23">
        <v>583</v>
      </c>
      <c r="I41" s="23">
        <v>2</v>
      </c>
      <c r="J41" s="8">
        <f t="shared" ref="J41" si="20">IFERROR(I41/E41,0)</f>
        <v>1</v>
      </c>
      <c r="K41" s="2">
        <f t="shared" ref="K41" si="21">IFERROR(H41/I41,0)</f>
        <v>291.5</v>
      </c>
    </row>
    <row r="42" spans="2:11" s="1" customFormat="1" ht="19.5" customHeight="1">
      <c r="B42" s="4" t="s">
        <v>564</v>
      </c>
      <c r="C42" s="4" t="s">
        <v>550</v>
      </c>
      <c r="D42" s="23">
        <v>29</v>
      </c>
      <c r="E42" s="23">
        <v>0</v>
      </c>
      <c r="F42" s="17">
        <f t="shared" ref="F42:F43" si="22">IFERROR(E42/D42,)</f>
        <v>0</v>
      </c>
      <c r="G42" s="16">
        <f t="shared" ref="G42:G43" si="23">IFERROR(H42/E42,0)</f>
        <v>0</v>
      </c>
      <c r="H42" s="23">
        <v>0</v>
      </c>
      <c r="I42" s="23">
        <v>0</v>
      </c>
      <c r="J42" s="8">
        <f t="shared" ref="J42:J43" si="24">IFERROR(I42/E42,0)</f>
        <v>0</v>
      </c>
      <c r="K42" s="2">
        <f t="shared" ref="K42:K43" si="25">IFERROR(H42/I42,0)</f>
        <v>0</v>
      </c>
    </row>
    <row r="43" spans="2:11" s="1" customFormat="1" ht="19.5" customHeight="1">
      <c r="B43" s="4" t="s">
        <v>564</v>
      </c>
      <c r="C43" s="4" t="s">
        <v>595</v>
      </c>
      <c r="D43" s="23">
        <v>10</v>
      </c>
      <c r="E43" s="23">
        <v>0</v>
      </c>
      <c r="F43" s="17">
        <f t="shared" si="22"/>
        <v>0</v>
      </c>
      <c r="G43" s="16">
        <f t="shared" si="23"/>
        <v>0</v>
      </c>
      <c r="H43" s="23">
        <v>0</v>
      </c>
      <c r="I43" s="23">
        <v>0</v>
      </c>
      <c r="J43" s="8">
        <f t="shared" si="24"/>
        <v>0</v>
      </c>
      <c r="K43" s="2">
        <f t="shared" si="25"/>
        <v>0</v>
      </c>
    </row>
    <row r="44" spans="2:11" s="1" customFormat="1" ht="19.5" customHeight="1">
      <c r="B44" s="4" t="s">
        <v>564</v>
      </c>
      <c r="C44" s="4" t="s">
        <v>596</v>
      </c>
      <c r="D44" s="23">
        <v>6</v>
      </c>
      <c r="E44" s="23">
        <v>0</v>
      </c>
      <c r="F44" s="17">
        <f t="shared" ref="F44:F45" si="26">IFERROR(E44/D44,)</f>
        <v>0</v>
      </c>
      <c r="G44" s="16">
        <f t="shared" ref="G44:G45" si="27">IFERROR(H44/E44,0)</f>
        <v>0</v>
      </c>
      <c r="H44" s="23">
        <v>0</v>
      </c>
      <c r="I44" s="23">
        <v>0</v>
      </c>
      <c r="J44" s="8">
        <f t="shared" ref="J44:J45" si="28">IFERROR(I44/E44,0)</f>
        <v>0</v>
      </c>
      <c r="K44" s="2">
        <f t="shared" ref="K44:K45" si="29">IFERROR(H44/I44,0)</f>
        <v>0</v>
      </c>
    </row>
    <row r="45" spans="2:11" s="1" customFormat="1" ht="19.5" customHeight="1">
      <c r="B45" s="4" t="s">
        <v>565</v>
      </c>
      <c r="C45" s="4" t="s">
        <v>556</v>
      </c>
      <c r="D45" s="23">
        <v>31</v>
      </c>
      <c r="E45" s="23">
        <v>0</v>
      </c>
      <c r="F45" s="17">
        <f t="shared" si="26"/>
        <v>0</v>
      </c>
      <c r="G45" s="16">
        <f t="shared" si="27"/>
        <v>0</v>
      </c>
      <c r="H45" s="23">
        <v>0</v>
      </c>
      <c r="I45" s="23">
        <v>0</v>
      </c>
      <c r="J45" s="8">
        <f t="shared" si="28"/>
        <v>0</v>
      </c>
      <c r="K45" s="2">
        <f t="shared" si="29"/>
        <v>0</v>
      </c>
    </row>
    <row r="46" spans="2:11" s="1" customFormat="1" ht="19.5" customHeight="1">
      <c r="B46" s="4" t="s">
        <v>565</v>
      </c>
      <c r="C46" s="4" t="s">
        <v>557</v>
      </c>
      <c r="D46" s="23">
        <v>42</v>
      </c>
      <c r="E46" s="23">
        <v>0</v>
      </c>
      <c r="F46" s="17">
        <f t="shared" ref="F46" si="30">IFERROR(E46/D46,)</f>
        <v>0</v>
      </c>
      <c r="G46" s="16">
        <f t="shared" ref="G46" si="31">IFERROR(H46/E46,0)</f>
        <v>0</v>
      </c>
      <c r="H46" s="23">
        <v>0</v>
      </c>
      <c r="I46" s="23">
        <v>0</v>
      </c>
      <c r="J46" s="8">
        <f t="shared" ref="J46" si="32">IFERROR(I46/E46,0)</f>
        <v>0</v>
      </c>
      <c r="K46" s="2">
        <f t="shared" ref="K46" si="33">IFERROR(H46/I46,0)</f>
        <v>0</v>
      </c>
    </row>
    <row r="47" spans="2:11" s="1" customFormat="1" ht="19.5" customHeight="1">
      <c r="B47" s="4" t="s">
        <v>565</v>
      </c>
      <c r="C47" s="4" t="s">
        <v>641</v>
      </c>
      <c r="D47" s="23">
        <v>5</v>
      </c>
      <c r="E47" s="23">
        <v>0</v>
      </c>
      <c r="F47" s="17">
        <f t="shared" ref="F47" si="34">IFERROR(E47/D47,)</f>
        <v>0</v>
      </c>
      <c r="G47" s="16">
        <f t="shared" ref="G47" si="35">IFERROR(H47/E47,0)</f>
        <v>0</v>
      </c>
      <c r="H47" s="23">
        <v>0</v>
      </c>
      <c r="I47" s="23">
        <v>0</v>
      </c>
      <c r="J47" s="8">
        <f t="shared" ref="J47" si="36">IFERROR(I47/E47,0)</f>
        <v>0</v>
      </c>
      <c r="K47" s="2">
        <f t="shared" ref="K47" si="37">IFERROR(H47/I47,0)</f>
        <v>0</v>
      </c>
    </row>
    <row r="48" spans="2:11" s="1" customFormat="1" ht="19.5" customHeight="1">
      <c r="B48" s="4" t="s">
        <v>565</v>
      </c>
      <c r="C48" s="4" t="s">
        <v>559</v>
      </c>
      <c r="D48" s="23">
        <v>68</v>
      </c>
      <c r="E48" s="23">
        <v>0</v>
      </c>
      <c r="F48" s="17">
        <f t="shared" ref="F48" si="38">IFERROR(E48/D48,)</f>
        <v>0</v>
      </c>
      <c r="G48" s="16">
        <f t="shared" ref="G48" si="39">IFERROR(H48/E48,0)</f>
        <v>0</v>
      </c>
      <c r="H48" s="23">
        <v>0</v>
      </c>
      <c r="I48" s="23">
        <v>0</v>
      </c>
      <c r="J48" s="8">
        <f t="shared" ref="J48" si="40">IFERROR(I48/E48,0)</f>
        <v>0</v>
      </c>
      <c r="K48" s="2">
        <f t="shared" ref="K48" si="41">IFERROR(H48/I48,0)</f>
        <v>0</v>
      </c>
    </row>
    <row r="49" spans="2:11" s="1" customFormat="1" ht="19.5" hidden="1" customHeight="1">
      <c r="B49" s="4" t="s">
        <v>565</v>
      </c>
      <c r="C49" s="4" t="s">
        <v>560</v>
      </c>
      <c r="D49" s="23">
        <v>53</v>
      </c>
      <c r="E49" s="23">
        <v>0</v>
      </c>
      <c r="F49" s="17"/>
      <c r="G49" s="16"/>
      <c r="H49" s="23">
        <v>0</v>
      </c>
      <c r="I49" s="23">
        <v>0</v>
      </c>
      <c r="J49" s="8"/>
      <c r="K49" s="2"/>
    </row>
    <row r="50" spans="2:11" s="1" customFormat="1" ht="19.5" hidden="1" customHeight="1">
      <c r="B50" s="4"/>
      <c r="C50" s="4"/>
      <c r="D50" s="23"/>
      <c r="E50" s="23"/>
      <c r="F50" s="17"/>
      <c r="G50" s="16"/>
      <c r="H50" s="23"/>
      <c r="I50" s="23"/>
      <c r="J50" s="8"/>
      <c r="K50" s="2"/>
    </row>
    <row r="51" spans="2:11" s="1" customFormat="1" ht="13.5" customHeight="1">
      <c r="B51" s="222" t="s">
        <v>17</v>
      </c>
      <c r="C51" s="223"/>
      <c r="D51" s="10">
        <f>SUM(D23:D50)</f>
        <v>3632</v>
      </c>
      <c r="E51" s="10">
        <f>SUM(E23:E50)</f>
        <v>123</v>
      </c>
      <c r="F51" s="11">
        <f>SUM(F23:F50)</f>
        <v>1.108449868180267</v>
      </c>
      <c r="G51" s="10">
        <f>H51/E51</f>
        <v>6046.5121951219517</v>
      </c>
      <c r="H51" s="10">
        <f>SUM(H23:H50)</f>
        <v>743721</v>
      </c>
      <c r="I51" s="10">
        <f>SUM(I23:I50)</f>
        <v>29</v>
      </c>
      <c r="J51" s="11">
        <f>IFERROR(I51/E51,0)</f>
        <v>0.23577235772357724</v>
      </c>
      <c r="K51" s="10">
        <f>IFERROR(H51/I51,0)</f>
        <v>25645.551724137931</v>
      </c>
    </row>
    <row r="52" spans="2:11" s="1" customFormat="1"/>
    <row r="54" spans="2:11">
      <c r="H54" s="26"/>
      <c r="I54" s="26"/>
    </row>
    <row r="56" spans="2:11">
      <c r="G56" s="25"/>
    </row>
  </sheetData>
  <mergeCells count="32">
    <mergeCell ref="B51:C51"/>
    <mergeCell ref="B5:C6"/>
    <mergeCell ref="B7:C7"/>
    <mergeCell ref="B8:C8"/>
    <mergeCell ref="B9:C9"/>
    <mergeCell ref="C21:C22"/>
    <mergeCell ref="B12:C13"/>
    <mergeCell ref="B14:C14"/>
    <mergeCell ref="B15:C15"/>
    <mergeCell ref="B16:C16"/>
    <mergeCell ref="B17:C17"/>
    <mergeCell ref="E21:E22"/>
    <mergeCell ref="F21:F22"/>
    <mergeCell ref="G21:G22"/>
    <mergeCell ref="H21:H22"/>
    <mergeCell ref="B21:B22"/>
    <mergeCell ref="B2:K2"/>
    <mergeCell ref="I21:K21"/>
    <mergeCell ref="B18:C18"/>
    <mergeCell ref="I5:K5"/>
    <mergeCell ref="D12:D13"/>
    <mergeCell ref="E12:E13"/>
    <mergeCell ref="F12:F13"/>
    <mergeCell ref="G12:G13"/>
    <mergeCell ref="H12:H13"/>
    <mergeCell ref="I12:K12"/>
    <mergeCell ref="D5:D6"/>
    <mergeCell ref="E5:E6"/>
    <mergeCell ref="F5:F6"/>
    <mergeCell ref="G5:G6"/>
    <mergeCell ref="H5:H6"/>
    <mergeCell ref="D21:D2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9" tint="0.39997558519241921"/>
  </sheetPr>
  <dimension ref="B2:P231"/>
  <sheetViews>
    <sheetView showGridLines="0" zoomScaleNormal="100" workbookViewId="0"/>
  </sheetViews>
  <sheetFormatPr defaultColWidth="9" defaultRowHeight="12"/>
  <cols>
    <col min="1" max="1" width="2.25" style="51" customWidth="1"/>
    <col min="2" max="2" width="2" style="50" customWidth="1"/>
    <col min="3" max="3" width="27.75" style="50" bestFit="1" customWidth="1"/>
    <col min="4" max="4" width="16.625" style="50" customWidth="1"/>
    <col min="5" max="5" width="22.75" style="50" bestFit="1" customWidth="1"/>
    <col min="6" max="6" width="10.5" style="50" bestFit="1" customWidth="1"/>
    <col min="7" max="11" width="11" style="50" customWidth="1"/>
    <col min="12" max="12" width="11" style="52" customWidth="1"/>
    <col min="13" max="13" width="11" style="50" customWidth="1"/>
    <col min="14" max="14" width="11" style="52" customWidth="1"/>
    <col min="15" max="15" width="2.25" style="50" customWidth="1"/>
    <col min="16" max="16384" width="9" style="51"/>
  </cols>
  <sheetData>
    <row r="2" spans="2:15" ht="13.5" customHeight="1">
      <c r="B2" s="232" t="s">
        <v>692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</row>
    <row r="3" spans="2:15" ht="21.75" customHeight="1"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</row>
    <row r="4" spans="2:15" ht="13.5" customHeight="1" thickBot="1"/>
    <row r="5" spans="2:15">
      <c r="B5" s="53"/>
      <c r="C5" s="54"/>
      <c r="D5" s="54"/>
      <c r="E5" s="54"/>
      <c r="F5" s="54"/>
      <c r="G5" s="54"/>
      <c r="H5" s="54"/>
      <c r="I5" s="54"/>
      <c r="J5" s="54"/>
      <c r="K5" s="54"/>
      <c r="L5" s="55"/>
      <c r="M5" s="54"/>
      <c r="N5" s="55"/>
      <c r="O5" s="56"/>
    </row>
    <row r="6" spans="2:15">
      <c r="B6" s="57"/>
      <c r="C6" s="58" t="s">
        <v>755</v>
      </c>
      <c r="D6" s="59"/>
      <c r="E6" s="59"/>
      <c r="F6" s="59"/>
      <c r="L6" s="60"/>
      <c r="N6" s="60"/>
      <c r="O6" s="61"/>
    </row>
    <row r="7" spans="2:15">
      <c r="B7" s="57"/>
      <c r="L7" s="60"/>
      <c r="N7" s="60"/>
      <c r="O7" s="61"/>
    </row>
    <row r="8" spans="2:15" ht="15.75" customHeight="1">
      <c r="B8" s="57"/>
      <c r="C8" s="63" t="s">
        <v>37</v>
      </c>
      <c r="D8" s="63" t="s">
        <v>34</v>
      </c>
      <c r="E8" s="63" t="s">
        <v>35</v>
      </c>
      <c r="F8" s="63" t="s">
        <v>38</v>
      </c>
      <c r="G8" s="63" t="s">
        <v>2</v>
      </c>
      <c r="H8" s="63" t="s">
        <v>4</v>
      </c>
      <c r="I8" s="63" t="s">
        <v>51</v>
      </c>
      <c r="J8" s="63" t="s">
        <v>52</v>
      </c>
      <c r="K8" s="64" t="s">
        <v>54</v>
      </c>
      <c r="L8" s="64" t="s">
        <v>45</v>
      </c>
      <c r="M8" s="63" t="s">
        <v>53</v>
      </c>
      <c r="N8" s="64" t="s">
        <v>69</v>
      </c>
      <c r="O8" s="61"/>
    </row>
    <row r="9" spans="2:15" ht="15.75" customHeight="1">
      <c r="B9" s="57"/>
      <c r="C9" s="65" t="s">
        <v>19</v>
      </c>
      <c r="D9" s="65" t="s">
        <v>19</v>
      </c>
      <c r="E9" s="65" t="s">
        <v>36</v>
      </c>
      <c r="F9" s="66">
        <f>SUM(F10:F1048576)/COUNTA(F10:F1048576)</f>
        <v>2.8285714285714283</v>
      </c>
      <c r="G9" s="65">
        <f>SUM(G10:G1048576)</f>
        <v>1833</v>
      </c>
      <c r="H9" s="65">
        <f>SUM(H10:H1048576)</f>
        <v>110</v>
      </c>
      <c r="I9" s="67">
        <f>H9/G9</f>
        <v>6.0010911074740859E-2</v>
      </c>
      <c r="J9" s="65">
        <f>K9/H9</f>
        <v>6372.3</v>
      </c>
      <c r="K9" s="65">
        <f>SUM(K10:K1048576)</f>
        <v>700953</v>
      </c>
      <c r="L9" s="65">
        <f>SUM(L10:L1048576)</f>
        <v>27</v>
      </c>
      <c r="M9" s="67">
        <f>L9/H9</f>
        <v>0.24545454545454545</v>
      </c>
      <c r="N9" s="65">
        <f>IFERROR(K9/L9,0)</f>
        <v>25961.222222222223</v>
      </c>
      <c r="O9" s="61"/>
    </row>
    <row r="10" spans="2:15" ht="15.75" customHeight="1">
      <c r="B10" s="57"/>
      <c r="C10" s="68" t="s">
        <v>564</v>
      </c>
      <c r="D10" s="68" t="s">
        <v>540</v>
      </c>
      <c r="E10" s="68" t="s">
        <v>71</v>
      </c>
      <c r="F10" s="69">
        <v>2</v>
      </c>
      <c r="G10" s="70">
        <v>263</v>
      </c>
      <c r="H10" s="70">
        <v>17</v>
      </c>
      <c r="I10" s="79">
        <f t="shared" ref="I10:I13" si="0">IFERROR(H10/G10,0)</f>
        <v>6.4638783269961975E-2</v>
      </c>
      <c r="J10" s="80">
        <f t="shared" ref="J10:J13" si="1">IFERROR(K10/H10,0)</f>
        <v>8307.5882352941171</v>
      </c>
      <c r="K10" s="80">
        <v>141229</v>
      </c>
      <c r="L10" s="70">
        <v>9</v>
      </c>
      <c r="M10" s="79">
        <f t="shared" ref="M10:M13" si="2">IFERROR(L10/H10,0)</f>
        <v>0.52941176470588236</v>
      </c>
      <c r="N10" s="70">
        <f>IFERROR(K10/L10,0)</f>
        <v>15692.111111111111</v>
      </c>
      <c r="O10" s="71"/>
    </row>
    <row r="11" spans="2:15" ht="15.75" customHeight="1">
      <c r="B11" s="57"/>
      <c r="C11" s="68" t="s">
        <v>564</v>
      </c>
      <c r="D11" s="68" t="s">
        <v>543</v>
      </c>
      <c r="E11" s="68" t="s">
        <v>75</v>
      </c>
      <c r="F11" s="69">
        <v>2.4</v>
      </c>
      <c r="G11" s="70">
        <v>253</v>
      </c>
      <c r="H11" s="70">
        <v>7</v>
      </c>
      <c r="I11" s="79">
        <f t="shared" si="0"/>
        <v>2.766798418972332E-2</v>
      </c>
      <c r="J11" s="80">
        <f t="shared" si="1"/>
        <v>12360.857142857143</v>
      </c>
      <c r="K11" s="80">
        <v>86526</v>
      </c>
      <c r="L11" s="70">
        <v>1</v>
      </c>
      <c r="M11" s="79">
        <f t="shared" si="2"/>
        <v>0.14285714285714285</v>
      </c>
      <c r="N11" s="70">
        <f t="shared" ref="N11:N13" si="3">IFERROR(K11/L11,0)</f>
        <v>86526</v>
      </c>
      <c r="O11" s="71"/>
    </row>
    <row r="12" spans="2:15" ht="15.75" customHeight="1">
      <c r="B12" s="57"/>
      <c r="C12" s="68" t="s">
        <v>564</v>
      </c>
      <c r="D12" s="68" t="s">
        <v>543</v>
      </c>
      <c r="E12" s="68" t="s">
        <v>70</v>
      </c>
      <c r="F12" s="69">
        <v>4.5999999999999996</v>
      </c>
      <c r="G12" s="70">
        <v>78</v>
      </c>
      <c r="H12" s="70">
        <v>4</v>
      </c>
      <c r="I12" s="79">
        <f t="shared" si="0"/>
        <v>5.128205128205128E-2</v>
      </c>
      <c r="J12" s="80">
        <f t="shared" si="1"/>
        <v>17839.25</v>
      </c>
      <c r="K12" s="80">
        <v>71357</v>
      </c>
      <c r="L12" s="70">
        <v>1</v>
      </c>
      <c r="M12" s="79">
        <f t="shared" si="2"/>
        <v>0.25</v>
      </c>
      <c r="N12" s="70">
        <f t="shared" si="3"/>
        <v>71357</v>
      </c>
      <c r="O12" s="71"/>
    </row>
    <row r="13" spans="2:15" ht="15.75" customHeight="1">
      <c r="B13" s="57"/>
      <c r="C13" s="68" t="s">
        <v>565</v>
      </c>
      <c r="D13" s="68" t="s">
        <v>541</v>
      </c>
      <c r="E13" s="68" t="s">
        <v>654</v>
      </c>
      <c r="F13" s="69">
        <v>1.9</v>
      </c>
      <c r="G13" s="70">
        <v>45</v>
      </c>
      <c r="H13" s="70">
        <v>8</v>
      </c>
      <c r="I13" s="79">
        <f t="shared" si="0"/>
        <v>0.17777777777777778</v>
      </c>
      <c r="J13" s="80">
        <f t="shared" si="1"/>
        <v>6583.5</v>
      </c>
      <c r="K13" s="80">
        <v>52668</v>
      </c>
      <c r="L13" s="70">
        <v>1</v>
      </c>
      <c r="M13" s="79">
        <f t="shared" si="2"/>
        <v>0.125</v>
      </c>
      <c r="N13" s="70">
        <f t="shared" si="3"/>
        <v>52668</v>
      </c>
      <c r="O13" s="71"/>
    </row>
    <row r="14" spans="2:15" ht="15.75" customHeight="1">
      <c r="B14" s="57"/>
      <c r="C14" s="68" t="s">
        <v>565</v>
      </c>
      <c r="D14" s="68" t="s">
        <v>541</v>
      </c>
      <c r="E14" s="68" t="s">
        <v>653</v>
      </c>
      <c r="F14" s="69">
        <v>2.5</v>
      </c>
      <c r="G14" s="70">
        <v>80</v>
      </c>
      <c r="H14" s="70">
        <v>7</v>
      </c>
      <c r="I14" s="79">
        <f t="shared" ref="I14" si="4">IFERROR(H14/G14,0)</f>
        <v>8.7499999999999994E-2</v>
      </c>
      <c r="J14" s="80">
        <f t="shared" ref="J14" si="5">IFERROR(K14/H14,0)</f>
        <v>6479</v>
      </c>
      <c r="K14" s="80">
        <v>45353</v>
      </c>
      <c r="L14" s="70">
        <v>0</v>
      </c>
      <c r="M14" s="79">
        <f t="shared" ref="M14" si="6">IFERROR(L14/H14,0)</f>
        <v>0</v>
      </c>
      <c r="N14" s="70">
        <f t="shared" ref="N14" si="7">IFERROR(K14/L14,0)</f>
        <v>0</v>
      </c>
      <c r="O14" s="71"/>
    </row>
    <row r="15" spans="2:15" ht="15.75" customHeight="1">
      <c r="B15" s="57"/>
      <c r="C15" s="68" t="s">
        <v>565</v>
      </c>
      <c r="D15" s="68" t="s">
        <v>548</v>
      </c>
      <c r="E15" s="68" t="s">
        <v>487</v>
      </c>
      <c r="F15" s="69">
        <v>3.7</v>
      </c>
      <c r="G15" s="70">
        <v>58</v>
      </c>
      <c r="H15" s="70">
        <v>5</v>
      </c>
      <c r="I15" s="79">
        <f t="shared" ref="I15:I16" si="8">IFERROR(H15/G15,0)</f>
        <v>8.6206896551724144E-2</v>
      </c>
      <c r="J15" s="80">
        <f t="shared" ref="J15:J16" si="9">IFERROR(K15/H15,0)</f>
        <v>6441.6</v>
      </c>
      <c r="K15" s="80">
        <v>32208</v>
      </c>
      <c r="L15" s="70">
        <v>0</v>
      </c>
      <c r="M15" s="79">
        <f t="shared" ref="M15:M16" si="10">IFERROR(L15/H15,0)</f>
        <v>0</v>
      </c>
      <c r="N15" s="70">
        <f t="shared" ref="N15:N16" si="11">IFERROR(K15/L15,0)</f>
        <v>0</v>
      </c>
      <c r="O15" s="71"/>
    </row>
    <row r="16" spans="2:15" ht="15.75" customHeight="1">
      <c r="B16" s="57"/>
      <c r="C16" s="68" t="s">
        <v>565</v>
      </c>
      <c r="D16" s="68" t="s">
        <v>541</v>
      </c>
      <c r="E16" s="68" t="s">
        <v>487</v>
      </c>
      <c r="F16" s="69">
        <v>3.7</v>
      </c>
      <c r="G16" s="70">
        <v>104</v>
      </c>
      <c r="H16" s="70">
        <v>4</v>
      </c>
      <c r="I16" s="79">
        <f t="shared" si="8"/>
        <v>3.8461538461538464E-2</v>
      </c>
      <c r="J16" s="80">
        <f t="shared" si="9"/>
        <v>8005.25</v>
      </c>
      <c r="K16" s="80">
        <v>32021</v>
      </c>
      <c r="L16" s="70">
        <v>1</v>
      </c>
      <c r="M16" s="79">
        <f t="shared" si="10"/>
        <v>0.25</v>
      </c>
      <c r="N16" s="70">
        <f t="shared" si="11"/>
        <v>32021</v>
      </c>
      <c r="O16" s="71"/>
    </row>
    <row r="17" spans="2:15" ht="15.75" customHeight="1">
      <c r="B17" s="57"/>
      <c r="C17" s="68" t="s">
        <v>564</v>
      </c>
      <c r="D17" s="68" t="s">
        <v>542</v>
      </c>
      <c r="E17" s="68" t="s">
        <v>364</v>
      </c>
      <c r="F17" s="69">
        <v>3.3</v>
      </c>
      <c r="G17" s="70">
        <v>50</v>
      </c>
      <c r="H17" s="70">
        <v>7</v>
      </c>
      <c r="I17" s="79">
        <f t="shared" ref="I17:I18" si="12">IFERROR(H17/G17,0)</f>
        <v>0.14000000000000001</v>
      </c>
      <c r="J17" s="80">
        <f t="shared" ref="J17:J18" si="13">IFERROR(K17/H17,0)</f>
        <v>4354.4285714285716</v>
      </c>
      <c r="K17" s="80">
        <v>30481</v>
      </c>
      <c r="L17" s="70">
        <v>1</v>
      </c>
      <c r="M17" s="79">
        <f t="shared" ref="M17:M18" si="14">IFERROR(L17/H17,0)</f>
        <v>0.14285714285714285</v>
      </c>
      <c r="N17" s="70">
        <f t="shared" ref="N17:N18" si="15">IFERROR(K17/L17,0)</f>
        <v>30481</v>
      </c>
      <c r="O17" s="71"/>
    </row>
    <row r="18" spans="2:15" ht="15.75" customHeight="1">
      <c r="B18" s="57"/>
      <c r="C18" s="68" t="s">
        <v>565</v>
      </c>
      <c r="D18" s="68" t="s">
        <v>548</v>
      </c>
      <c r="E18" s="68" t="s">
        <v>704</v>
      </c>
      <c r="F18" s="69">
        <v>1</v>
      </c>
      <c r="G18" s="70">
        <v>32</v>
      </c>
      <c r="H18" s="70">
        <v>4</v>
      </c>
      <c r="I18" s="79">
        <f t="shared" si="12"/>
        <v>0.125</v>
      </c>
      <c r="J18" s="80">
        <f t="shared" si="13"/>
        <v>4614.5</v>
      </c>
      <c r="K18" s="80">
        <v>18458</v>
      </c>
      <c r="L18" s="70">
        <v>0</v>
      </c>
      <c r="M18" s="79">
        <f t="shared" si="14"/>
        <v>0</v>
      </c>
      <c r="N18" s="70">
        <f t="shared" si="15"/>
        <v>0</v>
      </c>
      <c r="O18" s="71"/>
    </row>
    <row r="19" spans="2:15" ht="15.75" customHeight="1">
      <c r="B19" s="57"/>
      <c r="C19" s="68" t="s">
        <v>564</v>
      </c>
      <c r="D19" s="68" t="s">
        <v>545</v>
      </c>
      <c r="E19" s="68" t="s">
        <v>364</v>
      </c>
      <c r="F19" s="69">
        <v>4.5</v>
      </c>
      <c r="G19" s="70">
        <v>66</v>
      </c>
      <c r="H19" s="70">
        <v>2</v>
      </c>
      <c r="I19" s="79">
        <f t="shared" ref="I19:I23" si="16">IFERROR(H19/G19,0)</f>
        <v>3.0303030303030304E-2</v>
      </c>
      <c r="J19" s="80">
        <f t="shared" ref="J19:J23" si="17">IFERROR(K19/H19,0)</f>
        <v>8277.5</v>
      </c>
      <c r="K19" s="80">
        <v>16555</v>
      </c>
      <c r="L19" s="70">
        <v>0</v>
      </c>
      <c r="M19" s="79">
        <f t="shared" ref="M19:M23" si="18">IFERROR(L19/H19,0)</f>
        <v>0</v>
      </c>
      <c r="N19" s="70">
        <f t="shared" ref="N19:N23" si="19">IFERROR(K19/L19,0)</f>
        <v>0</v>
      </c>
      <c r="O19" s="71"/>
    </row>
    <row r="20" spans="2:15" ht="15.75" customHeight="1">
      <c r="B20" s="57"/>
      <c r="C20" s="68" t="s">
        <v>564</v>
      </c>
      <c r="D20" s="68" t="s">
        <v>542</v>
      </c>
      <c r="E20" s="68" t="s">
        <v>71</v>
      </c>
      <c r="F20" s="69">
        <v>2.9</v>
      </c>
      <c r="G20" s="70">
        <v>94</v>
      </c>
      <c r="H20" s="70">
        <v>6</v>
      </c>
      <c r="I20" s="79">
        <f t="shared" si="16"/>
        <v>6.3829787234042548E-2</v>
      </c>
      <c r="J20" s="80">
        <f t="shared" si="17"/>
        <v>2484.1666666666665</v>
      </c>
      <c r="K20" s="80">
        <v>14905</v>
      </c>
      <c r="L20" s="70">
        <v>0</v>
      </c>
      <c r="M20" s="79">
        <f t="shared" si="18"/>
        <v>0</v>
      </c>
      <c r="N20" s="70">
        <f t="shared" si="19"/>
        <v>0</v>
      </c>
      <c r="O20" s="71"/>
    </row>
    <row r="21" spans="2:15" ht="15.75" customHeight="1">
      <c r="B21" s="57"/>
      <c r="C21" s="68" t="s">
        <v>564</v>
      </c>
      <c r="D21" s="68" t="s">
        <v>540</v>
      </c>
      <c r="E21" s="68" t="s">
        <v>83</v>
      </c>
      <c r="F21" s="69">
        <v>1.8</v>
      </c>
      <c r="G21" s="70">
        <v>38</v>
      </c>
      <c r="H21" s="70">
        <v>2</v>
      </c>
      <c r="I21" s="79">
        <f t="shared" si="16"/>
        <v>5.2631578947368418E-2</v>
      </c>
      <c r="J21" s="80">
        <f t="shared" si="17"/>
        <v>6435</v>
      </c>
      <c r="K21" s="80">
        <v>12870</v>
      </c>
      <c r="L21" s="70">
        <v>0</v>
      </c>
      <c r="M21" s="79">
        <f t="shared" si="18"/>
        <v>0</v>
      </c>
      <c r="N21" s="70">
        <f t="shared" si="19"/>
        <v>0</v>
      </c>
      <c r="O21" s="71"/>
    </row>
    <row r="22" spans="2:15" ht="15.75" customHeight="1">
      <c r="B22" s="57"/>
      <c r="C22" s="68" t="s">
        <v>564</v>
      </c>
      <c r="D22" s="68" t="s">
        <v>542</v>
      </c>
      <c r="E22" s="68" t="s">
        <v>74</v>
      </c>
      <c r="F22" s="69">
        <v>1.7</v>
      </c>
      <c r="G22" s="70">
        <v>42</v>
      </c>
      <c r="H22" s="70">
        <v>2</v>
      </c>
      <c r="I22" s="79">
        <f t="shared" si="16"/>
        <v>4.7619047619047616E-2</v>
      </c>
      <c r="J22" s="80">
        <f t="shared" si="17"/>
        <v>6281</v>
      </c>
      <c r="K22" s="80">
        <v>12562</v>
      </c>
      <c r="L22" s="70">
        <v>0</v>
      </c>
      <c r="M22" s="79">
        <f t="shared" si="18"/>
        <v>0</v>
      </c>
      <c r="N22" s="70">
        <f t="shared" si="19"/>
        <v>0</v>
      </c>
      <c r="O22" s="71"/>
    </row>
    <row r="23" spans="2:15" ht="15.75" customHeight="1">
      <c r="B23" s="57"/>
      <c r="C23" s="68" t="s">
        <v>565</v>
      </c>
      <c r="D23" s="68" t="s">
        <v>541</v>
      </c>
      <c r="E23" s="68" t="s">
        <v>742</v>
      </c>
      <c r="F23" s="69">
        <v>2.2999999999999998</v>
      </c>
      <c r="G23" s="70">
        <v>4</v>
      </c>
      <c r="H23" s="70">
        <v>2</v>
      </c>
      <c r="I23" s="79">
        <f t="shared" si="16"/>
        <v>0.5</v>
      </c>
      <c r="J23" s="80">
        <f t="shared" si="17"/>
        <v>5263.5</v>
      </c>
      <c r="K23" s="80">
        <v>10527</v>
      </c>
      <c r="L23" s="70">
        <v>1</v>
      </c>
      <c r="M23" s="79">
        <f t="shared" si="18"/>
        <v>0.5</v>
      </c>
      <c r="N23" s="70">
        <f t="shared" si="19"/>
        <v>10527</v>
      </c>
      <c r="O23" s="71"/>
    </row>
    <row r="24" spans="2:15" ht="15.75" customHeight="1">
      <c r="B24" s="57"/>
      <c r="C24" s="68" t="s">
        <v>564</v>
      </c>
      <c r="D24" s="68" t="s">
        <v>544</v>
      </c>
      <c r="E24" s="68" t="s">
        <v>70</v>
      </c>
      <c r="F24" s="69">
        <v>4.5999999999999996</v>
      </c>
      <c r="G24" s="70">
        <v>28</v>
      </c>
      <c r="H24" s="70">
        <v>1</v>
      </c>
      <c r="I24" s="79">
        <f t="shared" ref="I24" si="20">IFERROR(H24/G24,0)</f>
        <v>3.5714285714285712E-2</v>
      </c>
      <c r="J24" s="80">
        <f t="shared" ref="J24" si="21">IFERROR(K24/H24,0)</f>
        <v>9207</v>
      </c>
      <c r="K24" s="80">
        <v>9207</v>
      </c>
      <c r="L24" s="70">
        <v>0</v>
      </c>
      <c r="M24" s="79">
        <f t="shared" ref="M24" si="22">IFERROR(L24/H24,0)</f>
        <v>0</v>
      </c>
      <c r="N24" s="70">
        <f t="shared" ref="N24" si="23">IFERROR(K24/L24,0)</f>
        <v>0</v>
      </c>
      <c r="O24" s="71"/>
    </row>
    <row r="25" spans="2:15" ht="15.75" customHeight="1">
      <c r="B25" s="57"/>
      <c r="C25" s="68" t="s">
        <v>565</v>
      </c>
      <c r="D25" s="68" t="s">
        <v>548</v>
      </c>
      <c r="E25" s="68" t="s">
        <v>654</v>
      </c>
      <c r="F25" s="69">
        <v>2.4</v>
      </c>
      <c r="G25" s="70">
        <v>39</v>
      </c>
      <c r="H25" s="70">
        <v>2</v>
      </c>
      <c r="I25" s="79">
        <f t="shared" ref="I25:I42" si="24">IFERROR(H25/G25,0)</f>
        <v>5.128205128205128E-2</v>
      </c>
      <c r="J25" s="80">
        <f t="shared" ref="J25:J42" si="25">IFERROR(K25/H25,0)</f>
        <v>4559.5</v>
      </c>
      <c r="K25" s="80">
        <v>9119</v>
      </c>
      <c r="L25" s="70">
        <v>2</v>
      </c>
      <c r="M25" s="79">
        <f t="shared" ref="M25:M42" si="26">IFERROR(L25/H25,0)</f>
        <v>1</v>
      </c>
      <c r="N25" s="70">
        <f t="shared" ref="N25:N42" si="27">IFERROR(K25/L25,0)</f>
        <v>4559.5</v>
      </c>
      <c r="O25" s="71"/>
    </row>
    <row r="26" spans="2:15" ht="15.75" customHeight="1">
      <c r="B26" s="57"/>
      <c r="C26" s="68" t="s">
        <v>564</v>
      </c>
      <c r="D26" s="68" t="s">
        <v>545</v>
      </c>
      <c r="E26" s="68" t="s">
        <v>71</v>
      </c>
      <c r="F26" s="69">
        <v>3.8</v>
      </c>
      <c r="G26" s="70">
        <v>139</v>
      </c>
      <c r="H26" s="70">
        <v>1</v>
      </c>
      <c r="I26" s="79">
        <f t="shared" si="24"/>
        <v>7.1942446043165471E-3</v>
      </c>
      <c r="J26" s="80">
        <f t="shared" si="25"/>
        <v>8943</v>
      </c>
      <c r="K26" s="80">
        <v>8943</v>
      </c>
      <c r="L26" s="70">
        <v>3</v>
      </c>
      <c r="M26" s="79">
        <f t="shared" si="26"/>
        <v>3</v>
      </c>
      <c r="N26" s="70">
        <f t="shared" si="27"/>
        <v>2981</v>
      </c>
      <c r="O26" s="71"/>
    </row>
    <row r="27" spans="2:15" ht="15.75" customHeight="1">
      <c r="B27" s="57"/>
      <c r="C27" s="68" t="s">
        <v>564</v>
      </c>
      <c r="D27" s="68" t="s">
        <v>551</v>
      </c>
      <c r="E27" s="68" t="s">
        <v>488</v>
      </c>
      <c r="F27" s="69">
        <v>3.8</v>
      </c>
      <c r="G27" s="70">
        <v>6</v>
      </c>
      <c r="H27" s="70">
        <v>2</v>
      </c>
      <c r="I27" s="79">
        <f t="shared" si="24"/>
        <v>0.33333333333333331</v>
      </c>
      <c r="J27" s="80">
        <f t="shared" si="25"/>
        <v>4086.5</v>
      </c>
      <c r="K27" s="80">
        <v>8173</v>
      </c>
      <c r="L27" s="70">
        <v>1</v>
      </c>
      <c r="M27" s="79">
        <f t="shared" si="26"/>
        <v>0.5</v>
      </c>
      <c r="N27" s="70">
        <f t="shared" si="27"/>
        <v>8173</v>
      </c>
      <c r="O27" s="71"/>
    </row>
    <row r="28" spans="2:15" ht="15.75" customHeight="1">
      <c r="B28" s="57"/>
      <c r="C28" s="68" t="s">
        <v>564</v>
      </c>
      <c r="D28" s="68" t="s">
        <v>551</v>
      </c>
      <c r="E28" s="68" t="s">
        <v>73</v>
      </c>
      <c r="F28" s="69">
        <v>3.8</v>
      </c>
      <c r="G28" s="70">
        <v>5</v>
      </c>
      <c r="H28" s="70">
        <v>1</v>
      </c>
      <c r="I28" s="79">
        <f t="shared" si="24"/>
        <v>0.2</v>
      </c>
      <c r="J28" s="80">
        <f t="shared" si="25"/>
        <v>8063</v>
      </c>
      <c r="K28" s="80">
        <v>8063</v>
      </c>
      <c r="L28" s="70">
        <v>0</v>
      </c>
      <c r="M28" s="79">
        <f t="shared" si="26"/>
        <v>0</v>
      </c>
      <c r="N28" s="70">
        <f t="shared" si="27"/>
        <v>0</v>
      </c>
      <c r="O28" s="71"/>
    </row>
    <row r="29" spans="2:15" ht="15.75" customHeight="1">
      <c r="B29" s="57"/>
      <c r="C29" s="68" t="s">
        <v>565</v>
      </c>
      <c r="D29" s="68" t="s">
        <v>541</v>
      </c>
      <c r="E29" s="68" t="s">
        <v>536</v>
      </c>
      <c r="F29" s="69">
        <v>1.3</v>
      </c>
      <c r="G29" s="70">
        <v>4</v>
      </c>
      <c r="H29" s="70">
        <v>2</v>
      </c>
      <c r="I29" s="79">
        <f t="shared" si="24"/>
        <v>0.5</v>
      </c>
      <c r="J29" s="80">
        <f t="shared" si="25"/>
        <v>3960</v>
      </c>
      <c r="K29" s="80">
        <v>7920</v>
      </c>
      <c r="L29" s="70">
        <v>0</v>
      </c>
      <c r="M29" s="79">
        <f t="shared" si="26"/>
        <v>0</v>
      </c>
      <c r="N29" s="70">
        <f t="shared" si="27"/>
        <v>0</v>
      </c>
      <c r="O29" s="71"/>
    </row>
    <row r="30" spans="2:15" ht="15.75" customHeight="1">
      <c r="B30" s="57"/>
      <c r="C30" s="68" t="s">
        <v>564</v>
      </c>
      <c r="D30" s="68" t="s">
        <v>549</v>
      </c>
      <c r="E30" s="68" t="s">
        <v>75</v>
      </c>
      <c r="F30" s="69">
        <v>5.7</v>
      </c>
      <c r="G30" s="70">
        <v>96</v>
      </c>
      <c r="H30" s="70">
        <v>1</v>
      </c>
      <c r="I30" s="79">
        <f t="shared" si="24"/>
        <v>1.0416666666666666E-2</v>
      </c>
      <c r="J30" s="80">
        <f t="shared" si="25"/>
        <v>7876</v>
      </c>
      <c r="K30" s="80">
        <v>7876</v>
      </c>
      <c r="L30" s="70">
        <v>0</v>
      </c>
      <c r="M30" s="79">
        <f t="shared" si="26"/>
        <v>0</v>
      </c>
      <c r="N30" s="70">
        <f t="shared" si="27"/>
        <v>0</v>
      </c>
      <c r="O30" s="71"/>
    </row>
    <row r="31" spans="2:15" ht="15.75" customHeight="1">
      <c r="B31" s="57"/>
      <c r="C31" s="68" t="s">
        <v>565</v>
      </c>
      <c r="D31" s="68" t="s">
        <v>548</v>
      </c>
      <c r="E31" s="68" t="s">
        <v>647</v>
      </c>
      <c r="F31" s="69">
        <v>4</v>
      </c>
      <c r="G31" s="70">
        <v>25</v>
      </c>
      <c r="H31" s="70">
        <v>1</v>
      </c>
      <c r="I31" s="79">
        <f t="shared" si="24"/>
        <v>0.04</v>
      </c>
      <c r="J31" s="80">
        <f t="shared" si="25"/>
        <v>7414</v>
      </c>
      <c r="K31" s="80">
        <v>7414</v>
      </c>
      <c r="L31" s="70">
        <v>0</v>
      </c>
      <c r="M31" s="79">
        <f t="shared" si="26"/>
        <v>0</v>
      </c>
      <c r="N31" s="70">
        <f t="shared" si="27"/>
        <v>0</v>
      </c>
      <c r="O31" s="71"/>
    </row>
    <row r="32" spans="2:15" ht="15.75" customHeight="1">
      <c r="B32" s="57"/>
      <c r="C32" s="68" t="s">
        <v>565</v>
      </c>
      <c r="D32" s="68" t="s">
        <v>541</v>
      </c>
      <c r="E32" s="68" t="s">
        <v>762</v>
      </c>
      <c r="F32" s="69">
        <v>1.3</v>
      </c>
      <c r="G32" s="70">
        <v>4</v>
      </c>
      <c r="H32" s="70">
        <v>1</v>
      </c>
      <c r="I32" s="79">
        <f t="shared" si="24"/>
        <v>0.25</v>
      </c>
      <c r="J32" s="80">
        <f t="shared" si="25"/>
        <v>5753</v>
      </c>
      <c r="K32" s="80">
        <v>5753</v>
      </c>
      <c r="L32" s="70">
        <v>0</v>
      </c>
      <c r="M32" s="79">
        <f t="shared" si="26"/>
        <v>0</v>
      </c>
      <c r="N32" s="70">
        <f t="shared" si="27"/>
        <v>0</v>
      </c>
      <c r="O32" s="71"/>
    </row>
    <row r="33" spans="2:15" ht="15.75" customHeight="1">
      <c r="B33" s="57"/>
      <c r="C33" s="68" t="s">
        <v>564</v>
      </c>
      <c r="D33" s="68" t="s">
        <v>547</v>
      </c>
      <c r="E33" s="68" t="s">
        <v>71</v>
      </c>
      <c r="F33" s="69">
        <v>3.2</v>
      </c>
      <c r="G33" s="70">
        <v>26</v>
      </c>
      <c r="H33" s="70">
        <v>1</v>
      </c>
      <c r="I33" s="79">
        <f t="shared" si="24"/>
        <v>3.8461538461538464E-2</v>
      </c>
      <c r="J33" s="80">
        <f t="shared" si="25"/>
        <v>5423</v>
      </c>
      <c r="K33" s="80">
        <v>5423</v>
      </c>
      <c r="L33" s="70">
        <v>0</v>
      </c>
      <c r="M33" s="79">
        <f t="shared" si="26"/>
        <v>0</v>
      </c>
      <c r="N33" s="70">
        <f t="shared" si="27"/>
        <v>0</v>
      </c>
      <c r="O33" s="71"/>
    </row>
    <row r="34" spans="2:15" ht="15.75" customHeight="1">
      <c r="B34" s="57"/>
      <c r="C34" s="68" t="s">
        <v>565</v>
      </c>
      <c r="D34" s="68" t="s">
        <v>558</v>
      </c>
      <c r="E34" s="68" t="s">
        <v>610</v>
      </c>
      <c r="F34" s="69">
        <v>2.2999999999999998</v>
      </c>
      <c r="G34" s="70">
        <v>4</v>
      </c>
      <c r="H34" s="70">
        <v>1</v>
      </c>
      <c r="I34" s="79">
        <f t="shared" si="24"/>
        <v>0.25</v>
      </c>
      <c r="J34" s="80">
        <f t="shared" si="25"/>
        <v>4884</v>
      </c>
      <c r="K34" s="80">
        <v>4884</v>
      </c>
      <c r="L34" s="70">
        <v>0</v>
      </c>
      <c r="M34" s="79">
        <f t="shared" si="26"/>
        <v>0</v>
      </c>
      <c r="N34" s="70">
        <f t="shared" si="27"/>
        <v>0</v>
      </c>
      <c r="O34" s="71"/>
    </row>
    <row r="35" spans="2:15" ht="15.75" customHeight="1">
      <c r="B35" s="57"/>
      <c r="C35" s="68" t="s">
        <v>564</v>
      </c>
      <c r="D35" s="68" t="s">
        <v>547</v>
      </c>
      <c r="E35" s="68" t="s">
        <v>364</v>
      </c>
      <c r="F35" s="69">
        <v>4.8</v>
      </c>
      <c r="G35" s="70">
        <v>13</v>
      </c>
      <c r="H35" s="70">
        <v>1</v>
      </c>
      <c r="I35" s="79">
        <f t="shared" si="24"/>
        <v>7.6923076923076927E-2</v>
      </c>
      <c r="J35" s="80">
        <f t="shared" si="25"/>
        <v>4829</v>
      </c>
      <c r="K35" s="80">
        <v>4829</v>
      </c>
      <c r="L35" s="70">
        <v>0</v>
      </c>
      <c r="M35" s="79">
        <f t="shared" si="26"/>
        <v>0</v>
      </c>
      <c r="N35" s="70">
        <f t="shared" si="27"/>
        <v>0</v>
      </c>
      <c r="O35" s="71"/>
    </row>
    <row r="36" spans="2:15" ht="15.75" customHeight="1">
      <c r="B36" s="57"/>
      <c r="C36" s="68" t="s">
        <v>565</v>
      </c>
      <c r="D36" s="68" t="s">
        <v>541</v>
      </c>
      <c r="E36" s="68" t="s">
        <v>647</v>
      </c>
      <c r="F36" s="69">
        <v>3.4</v>
      </c>
      <c r="G36" s="70">
        <v>152</v>
      </c>
      <c r="H36" s="70">
        <v>1</v>
      </c>
      <c r="I36" s="79">
        <f t="shared" si="24"/>
        <v>6.5789473684210523E-3</v>
      </c>
      <c r="J36" s="80">
        <f t="shared" si="25"/>
        <v>4499</v>
      </c>
      <c r="K36" s="80">
        <v>4499</v>
      </c>
      <c r="L36" s="70">
        <v>1</v>
      </c>
      <c r="M36" s="79">
        <f t="shared" si="26"/>
        <v>1</v>
      </c>
      <c r="N36" s="70">
        <f t="shared" si="27"/>
        <v>4499</v>
      </c>
      <c r="O36" s="71"/>
    </row>
    <row r="37" spans="2:15" ht="15.75" customHeight="1">
      <c r="B37" s="57"/>
      <c r="C37" s="68" t="s">
        <v>565</v>
      </c>
      <c r="D37" s="68" t="s">
        <v>541</v>
      </c>
      <c r="E37" s="68" t="s">
        <v>763</v>
      </c>
      <c r="F37" s="69">
        <v>2</v>
      </c>
      <c r="G37" s="70">
        <v>1</v>
      </c>
      <c r="H37" s="70">
        <v>2</v>
      </c>
      <c r="I37" s="79">
        <f t="shared" si="24"/>
        <v>2</v>
      </c>
      <c r="J37" s="80">
        <f t="shared" si="25"/>
        <v>2167</v>
      </c>
      <c r="K37" s="80">
        <v>4334</v>
      </c>
      <c r="L37" s="70">
        <v>0</v>
      </c>
      <c r="M37" s="79">
        <f t="shared" si="26"/>
        <v>0</v>
      </c>
      <c r="N37" s="70">
        <f t="shared" si="27"/>
        <v>0</v>
      </c>
      <c r="O37" s="71"/>
    </row>
    <row r="38" spans="2:15" ht="15.75" customHeight="1">
      <c r="B38" s="57"/>
      <c r="C38" s="68" t="s">
        <v>564</v>
      </c>
      <c r="D38" s="68" t="s">
        <v>547</v>
      </c>
      <c r="E38" s="68" t="s">
        <v>83</v>
      </c>
      <c r="F38" s="69">
        <v>2.4</v>
      </c>
      <c r="G38" s="70">
        <v>7</v>
      </c>
      <c r="H38" s="70">
        <v>1</v>
      </c>
      <c r="I38" s="79">
        <f t="shared" si="24"/>
        <v>0.14285714285714285</v>
      </c>
      <c r="J38" s="80">
        <f t="shared" si="25"/>
        <v>4290</v>
      </c>
      <c r="K38" s="80">
        <v>4290</v>
      </c>
      <c r="L38" s="70">
        <v>0</v>
      </c>
      <c r="M38" s="79">
        <f t="shared" si="26"/>
        <v>0</v>
      </c>
      <c r="N38" s="70">
        <f t="shared" si="27"/>
        <v>0</v>
      </c>
      <c r="O38" s="71"/>
    </row>
    <row r="39" spans="2:15" ht="15.75" customHeight="1">
      <c r="B39" s="57"/>
      <c r="C39" s="68" t="s">
        <v>565</v>
      </c>
      <c r="D39" s="68" t="s">
        <v>546</v>
      </c>
      <c r="E39" s="68" t="s">
        <v>745</v>
      </c>
      <c r="F39" s="69">
        <v>2.4</v>
      </c>
      <c r="G39" s="70">
        <v>38</v>
      </c>
      <c r="H39" s="70">
        <v>1</v>
      </c>
      <c r="I39" s="79">
        <f t="shared" si="24"/>
        <v>2.6315789473684209E-2</v>
      </c>
      <c r="J39" s="80">
        <f t="shared" si="25"/>
        <v>4246</v>
      </c>
      <c r="K39" s="80">
        <v>4246</v>
      </c>
      <c r="L39" s="70">
        <v>0</v>
      </c>
      <c r="M39" s="79">
        <f t="shared" si="26"/>
        <v>0</v>
      </c>
      <c r="N39" s="70">
        <f t="shared" si="27"/>
        <v>0</v>
      </c>
      <c r="O39" s="71"/>
    </row>
    <row r="40" spans="2:15" ht="15.75" customHeight="1">
      <c r="B40" s="57"/>
      <c r="C40" s="68" t="s">
        <v>565</v>
      </c>
      <c r="D40" s="68" t="s">
        <v>546</v>
      </c>
      <c r="E40" s="68" t="s">
        <v>729</v>
      </c>
      <c r="F40" s="69">
        <v>2</v>
      </c>
      <c r="G40" s="70">
        <v>2</v>
      </c>
      <c r="H40" s="70">
        <v>1</v>
      </c>
      <c r="I40" s="79">
        <f t="shared" si="24"/>
        <v>0.5</v>
      </c>
      <c r="J40" s="80">
        <f t="shared" si="25"/>
        <v>3487</v>
      </c>
      <c r="K40" s="80">
        <v>3487</v>
      </c>
      <c r="L40" s="70">
        <v>0</v>
      </c>
      <c r="M40" s="79">
        <f t="shared" si="26"/>
        <v>0</v>
      </c>
      <c r="N40" s="70">
        <f t="shared" si="27"/>
        <v>0</v>
      </c>
      <c r="O40" s="71"/>
    </row>
    <row r="41" spans="2:15" ht="15.75" customHeight="1">
      <c r="B41" s="57"/>
      <c r="C41" s="68" t="s">
        <v>565</v>
      </c>
      <c r="D41" s="68" t="s">
        <v>560</v>
      </c>
      <c r="E41" s="68" t="s">
        <v>764</v>
      </c>
      <c r="F41" s="69">
        <v>5</v>
      </c>
      <c r="G41" s="70">
        <v>3</v>
      </c>
      <c r="H41" s="70">
        <v>1</v>
      </c>
      <c r="I41" s="79">
        <f t="shared" si="24"/>
        <v>0.33333333333333331</v>
      </c>
      <c r="J41" s="80">
        <f t="shared" si="25"/>
        <v>3388</v>
      </c>
      <c r="K41" s="80">
        <v>3388</v>
      </c>
      <c r="L41" s="70">
        <v>0</v>
      </c>
      <c r="M41" s="79">
        <f t="shared" si="26"/>
        <v>0</v>
      </c>
      <c r="N41" s="70">
        <f t="shared" si="27"/>
        <v>0</v>
      </c>
      <c r="O41" s="71"/>
    </row>
    <row r="42" spans="2:15" ht="15.75" customHeight="1">
      <c r="B42" s="57"/>
      <c r="C42" s="68" t="s">
        <v>564</v>
      </c>
      <c r="D42" s="68" t="s">
        <v>551</v>
      </c>
      <c r="E42" s="68" t="s">
        <v>488</v>
      </c>
      <c r="F42" s="69">
        <v>3.8</v>
      </c>
      <c r="G42" s="70">
        <v>6</v>
      </c>
      <c r="H42" s="70">
        <v>1</v>
      </c>
      <c r="I42" s="79">
        <f t="shared" si="24"/>
        <v>0.16666666666666666</v>
      </c>
      <c r="J42" s="80">
        <f t="shared" si="25"/>
        <v>3366</v>
      </c>
      <c r="K42" s="80">
        <v>3366</v>
      </c>
      <c r="L42" s="70">
        <v>0</v>
      </c>
      <c r="M42" s="79">
        <f t="shared" si="26"/>
        <v>0</v>
      </c>
      <c r="N42" s="70">
        <f t="shared" si="27"/>
        <v>0</v>
      </c>
      <c r="O42" s="71"/>
    </row>
    <row r="43" spans="2:15" ht="15.75" customHeight="1">
      <c r="B43" s="57"/>
      <c r="C43" s="68" t="s">
        <v>564</v>
      </c>
      <c r="D43" s="68" t="s">
        <v>605</v>
      </c>
      <c r="E43" s="68" t="s">
        <v>744</v>
      </c>
      <c r="F43" s="69">
        <v>1.5</v>
      </c>
      <c r="G43" s="70">
        <v>10</v>
      </c>
      <c r="H43" s="70">
        <v>2</v>
      </c>
      <c r="I43" s="79">
        <f t="shared" ref="I43:I44" si="28">IFERROR(H43/G43,0)</f>
        <v>0.2</v>
      </c>
      <c r="J43" s="80">
        <f t="shared" ref="J43:J44" si="29">IFERROR(K43/H43,0)</f>
        <v>1518</v>
      </c>
      <c r="K43" s="80">
        <v>3036</v>
      </c>
      <c r="L43" s="70">
        <v>2</v>
      </c>
      <c r="M43" s="79">
        <f t="shared" ref="M43:M44" si="30">IFERROR(L43/H43,0)</f>
        <v>1</v>
      </c>
      <c r="N43" s="70">
        <f t="shared" ref="N43:N44" si="31">IFERROR(K43/L43,0)</f>
        <v>1518</v>
      </c>
      <c r="O43" s="71"/>
    </row>
    <row r="44" spans="2:15" ht="15.75" customHeight="1">
      <c r="B44" s="57"/>
      <c r="C44" s="68" t="s">
        <v>565</v>
      </c>
      <c r="D44" s="68" t="s">
        <v>553</v>
      </c>
      <c r="E44" s="68" t="s">
        <v>765</v>
      </c>
      <c r="F44" s="69">
        <v>1</v>
      </c>
      <c r="G44" s="70">
        <v>5</v>
      </c>
      <c r="H44" s="70">
        <v>1</v>
      </c>
      <c r="I44" s="79">
        <f t="shared" si="28"/>
        <v>0.2</v>
      </c>
      <c r="J44" s="80">
        <f t="shared" si="29"/>
        <v>1870</v>
      </c>
      <c r="K44" s="80">
        <v>1870</v>
      </c>
      <c r="L44" s="70">
        <v>0</v>
      </c>
      <c r="M44" s="79">
        <f t="shared" si="30"/>
        <v>0</v>
      </c>
      <c r="N44" s="70">
        <f t="shared" si="31"/>
        <v>0</v>
      </c>
      <c r="O44" s="71"/>
    </row>
    <row r="45" spans="2:15" ht="15.75" customHeight="1">
      <c r="B45" s="57"/>
      <c r="C45" s="68" t="s">
        <v>565</v>
      </c>
      <c r="D45" s="68" t="s">
        <v>613</v>
      </c>
      <c r="E45" s="68" t="s">
        <v>766</v>
      </c>
      <c r="F45" s="69">
        <v>2</v>
      </c>
      <c r="G45" s="70">
        <v>1</v>
      </c>
      <c r="H45" s="70">
        <v>1</v>
      </c>
      <c r="I45" s="79">
        <f t="shared" ref="I45:I51" si="32">IFERROR(H45/G45,0)</f>
        <v>1</v>
      </c>
      <c r="J45" s="80">
        <f t="shared" ref="J45:J51" si="33">IFERROR(K45/H45,0)</f>
        <v>1023</v>
      </c>
      <c r="K45" s="80">
        <v>1023</v>
      </c>
      <c r="L45" s="70">
        <v>0</v>
      </c>
      <c r="M45" s="79">
        <f t="shared" ref="M45:M51" si="34">IFERROR(L45/H45,0)</f>
        <v>0</v>
      </c>
      <c r="N45" s="70">
        <f t="shared" ref="N45:N51" si="35">IFERROR(K45/L45,0)</f>
        <v>0</v>
      </c>
      <c r="O45" s="71"/>
    </row>
    <row r="46" spans="2:15" ht="15.75" customHeight="1">
      <c r="B46" s="57"/>
      <c r="C46" s="68" t="s">
        <v>565</v>
      </c>
      <c r="D46" s="68" t="s">
        <v>613</v>
      </c>
      <c r="E46" s="68" t="s">
        <v>767</v>
      </c>
      <c r="F46" s="69">
        <v>1</v>
      </c>
      <c r="G46" s="70">
        <v>1</v>
      </c>
      <c r="H46" s="70">
        <v>1</v>
      </c>
      <c r="I46" s="79">
        <f t="shared" si="32"/>
        <v>1</v>
      </c>
      <c r="J46" s="80">
        <f t="shared" si="33"/>
        <v>781</v>
      </c>
      <c r="K46" s="80">
        <v>781</v>
      </c>
      <c r="L46" s="70">
        <v>1</v>
      </c>
      <c r="M46" s="79">
        <f t="shared" si="34"/>
        <v>1</v>
      </c>
      <c r="N46" s="70">
        <f t="shared" si="35"/>
        <v>781</v>
      </c>
      <c r="O46" s="71"/>
    </row>
    <row r="47" spans="2:15" ht="15.75" customHeight="1">
      <c r="B47" s="57"/>
      <c r="C47" s="68" t="s">
        <v>565</v>
      </c>
      <c r="D47" s="68" t="s">
        <v>552</v>
      </c>
      <c r="E47" s="68" t="s">
        <v>768</v>
      </c>
      <c r="F47" s="69">
        <v>2</v>
      </c>
      <c r="G47" s="70">
        <v>1</v>
      </c>
      <c r="H47" s="70">
        <v>1</v>
      </c>
      <c r="I47" s="79">
        <f t="shared" si="32"/>
        <v>1</v>
      </c>
      <c r="J47" s="80">
        <f t="shared" si="33"/>
        <v>594</v>
      </c>
      <c r="K47" s="80">
        <v>594</v>
      </c>
      <c r="L47" s="70">
        <v>0</v>
      </c>
      <c r="M47" s="79">
        <f t="shared" si="34"/>
        <v>0</v>
      </c>
      <c r="N47" s="70">
        <f t="shared" si="35"/>
        <v>0</v>
      </c>
      <c r="O47" s="71"/>
    </row>
    <row r="48" spans="2:15" ht="15.75" customHeight="1">
      <c r="B48" s="57"/>
      <c r="C48" s="68" t="s">
        <v>565</v>
      </c>
      <c r="D48" s="68" t="s">
        <v>554</v>
      </c>
      <c r="E48" s="68" t="s">
        <v>769</v>
      </c>
      <c r="F48" s="69">
        <v>2</v>
      </c>
      <c r="G48" s="70">
        <v>1</v>
      </c>
      <c r="H48" s="70">
        <v>1</v>
      </c>
      <c r="I48" s="79">
        <f t="shared" si="32"/>
        <v>1</v>
      </c>
      <c r="J48" s="80">
        <f t="shared" si="33"/>
        <v>297</v>
      </c>
      <c r="K48" s="80">
        <v>297</v>
      </c>
      <c r="L48" s="70">
        <v>2</v>
      </c>
      <c r="M48" s="79">
        <f t="shared" si="34"/>
        <v>2</v>
      </c>
      <c r="N48" s="70">
        <f t="shared" si="35"/>
        <v>148.5</v>
      </c>
      <c r="O48" s="71"/>
    </row>
    <row r="49" spans="2:15" ht="15.75" customHeight="1">
      <c r="B49" s="57"/>
      <c r="C49" s="68" t="s">
        <v>565</v>
      </c>
      <c r="D49" s="68" t="s">
        <v>554</v>
      </c>
      <c r="E49" s="68" t="s">
        <v>770</v>
      </c>
      <c r="F49" s="69">
        <v>3</v>
      </c>
      <c r="G49" s="70">
        <v>1</v>
      </c>
      <c r="H49" s="70">
        <v>1</v>
      </c>
      <c r="I49" s="79">
        <f t="shared" si="32"/>
        <v>1</v>
      </c>
      <c r="J49" s="80">
        <f t="shared" si="33"/>
        <v>286</v>
      </c>
      <c r="K49" s="80">
        <v>286</v>
      </c>
      <c r="L49" s="70">
        <v>0</v>
      </c>
      <c r="M49" s="79">
        <f t="shared" si="34"/>
        <v>0</v>
      </c>
      <c r="N49" s="70">
        <f t="shared" si="35"/>
        <v>0</v>
      </c>
      <c r="O49" s="71"/>
    </row>
    <row r="50" spans="2:15" ht="15.75" customHeight="1">
      <c r="B50" s="57"/>
      <c r="C50" s="68" t="s">
        <v>564</v>
      </c>
      <c r="D50" s="68" t="s">
        <v>544</v>
      </c>
      <c r="E50" s="68" t="s">
        <v>771</v>
      </c>
      <c r="F50" s="69">
        <v>3</v>
      </c>
      <c r="G50" s="70">
        <v>7</v>
      </c>
      <c r="H50" s="70">
        <v>1</v>
      </c>
      <c r="I50" s="79">
        <f t="shared" si="32"/>
        <v>0.14285714285714285</v>
      </c>
      <c r="J50" s="80">
        <f t="shared" si="33"/>
        <v>77</v>
      </c>
      <c r="K50" s="80">
        <v>77</v>
      </c>
      <c r="L50" s="70">
        <v>0</v>
      </c>
      <c r="M50" s="79">
        <f t="shared" si="34"/>
        <v>0</v>
      </c>
      <c r="N50" s="70">
        <f t="shared" si="35"/>
        <v>0</v>
      </c>
      <c r="O50" s="71"/>
    </row>
    <row r="51" spans="2:15" ht="15.75" customHeight="1">
      <c r="B51" s="57"/>
      <c r="C51" s="68" t="s">
        <v>565</v>
      </c>
      <c r="D51" s="68" t="s">
        <v>552</v>
      </c>
      <c r="E51" s="68" t="s">
        <v>772</v>
      </c>
      <c r="F51" s="69">
        <v>3</v>
      </c>
      <c r="G51" s="70">
        <v>1</v>
      </c>
      <c r="H51" s="70">
        <v>1</v>
      </c>
      <c r="I51" s="79">
        <f t="shared" si="32"/>
        <v>1</v>
      </c>
      <c r="J51" s="80">
        <f t="shared" si="33"/>
        <v>55</v>
      </c>
      <c r="K51" s="80">
        <v>55</v>
      </c>
      <c r="L51" s="70">
        <v>0</v>
      </c>
      <c r="M51" s="79">
        <f t="shared" si="34"/>
        <v>0</v>
      </c>
      <c r="N51" s="70">
        <f t="shared" si="35"/>
        <v>0</v>
      </c>
      <c r="O51" s="71"/>
    </row>
    <row r="52" spans="2:15" ht="15.75" customHeight="1">
      <c r="B52" s="57"/>
      <c r="C52" s="68"/>
      <c r="D52" s="68"/>
      <c r="E52" s="68"/>
      <c r="F52" s="69"/>
      <c r="G52" s="70"/>
      <c r="H52" s="70"/>
      <c r="I52" s="79"/>
      <c r="J52" s="80"/>
      <c r="K52" s="80"/>
      <c r="L52" s="70"/>
      <c r="M52" s="79"/>
      <c r="N52" s="70"/>
      <c r="O52" s="71"/>
    </row>
    <row r="53" spans="2:15" ht="15.75" customHeight="1">
      <c r="B53" s="57"/>
      <c r="C53" s="68"/>
      <c r="D53" s="68"/>
      <c r="E53" s="68"/>
      <c r="F53" s="69"/>
      <c r="G53" s="70"/>
      <c r="H53" s="70"/>
      <c r="I53" s="79"/>
      <c r="J53" s="80"/>
      <c r="K53" s="80"/>
      <c r="L53" s="70"/>
      <c r="M53" s="79"/>
      <c r="N53" s="70"/>
      <c r="O53" s="71"/>
    </row>
    <row r="54" spans="2:15" ht="15.75" customHeight="1">
      <c r="B54" s="57"/>
      <c r="C54" s="68"/>
      <c r="D54" s="68"/>
      <c r="E54" s="68"/>
      <c r="F54" s="69"/>
      <c r="G54" s="70"/>
      <c r="H54" s="70"/>
      <c r="I54" s="79"/>
      <c r="J54" s="80"/>
      <c r="K54" s="80"/>
      <c r="L54" s="70"/>
      <c r="M54" s="79"/>
      <c r="N54" s="70"/>
      <c r="O54" s="71"/>
    </row>
    <row r="55" spans="2:15" ht="15.75" customHeight="1">
      <c r="B55" s="57"/>
      <c r="C55" s="68"/>
      <c r="D55" s="68"/>
      <c r="E55" s="68"/>
      <c r="F55" s="69"/>
      <c r="G55" s="70"/>
      <c r="H55" s="70"/>
      <c r="I55" s="79"/>
      <c r="J55" s="80"/>
      <c r="K55" s="80"/>
      <c r="L55" s="70"/>
      <c r="M55" s="79"/>
      <c r="N55" s="70"/>
      <c r="O55" s="71"/>
    </row>
    <row r="56" spans="2:15" ht="15.75" customHeight="1">
      <c r="B56" s="57"/>
      <c r="C56" s="68"/>
      <c r="D56" s="68"/>
      <c r="E56" s="68"/>
      <c r="F56" s="69"/>
      <c r="G56" s="70"/>
      <c r="H56" s="70"/>
      <c r="I56" s="79"/>
      <c r="J56" s="80"/>
      <c r="K56" s="80"/>
      <c r="L56" s="70"/>
      <c r="M56" s="79"/>
      <c r="N56" s="70"/>
      <c r="O56" s="71"/>
    </row>
    <row r="57" spans="2:15" ht="15.75" customHeight="1">
      <c r="B57" s="57"/>
      <c r="C57" s="68"/>
      <c r="D57" s="68"/>
      <c r="E57" s="68"/>
      <c r="F57" s="69"/>
      <c r="G57" s="70"/>
      <c r="H57" s="70"/>
      <c r="I57" s="79"/>
      <c r="J57" s="80"/>
      <c r="K57" s="80"/>
      <c r="L57" s="70"/>
      <c r="M57" s="79"/>
      <c r="N57" s="70"/>
      <c r="O57" s="71"/>
    </row>
    <row r="58" spans="2:15" ht="15.75" customHeight="1">
      <c r="B58" s="57"/>
      <c r="C58" s="68"/>
      <c r="D58" s="68"/>
      <c r="E58" s="68"/>
      <c r="F58" s="69"/>
      <c r="G58" s="70"/>
      <c r="H58" s="70"/>
      <c r="I58" s="79"/>
      <c r="J58" s="80"/>
      <c r="K58" s="80"/>
      <c r="L58" s="70"/>
      <c r="M58" s="79"/>
      <c r="N58" s="70"/>
      <c r="O58" s="71"/>
    </row>
    <row r="59" spans="2:15" ht="15.75" customHeight="1">
      <c r="B59" s="57"/>
      <c r="C59" s="68"/>
      <c r="D59" s="68"/>
      <c r="E59" s="68"/>
      <c r="F59" s="69"/>
      <c r="G59" s="70"/>
      <c r="H59" s="70"/>
      <c r="I59" s="79"/>
      <c r="J59" s="80"/>
      <c r="K59" s="80"/>
      <c r="L59" s="70"/>
      <c r="M59" s="79"/>
      <c r="N59" s="70"/>
      <c r="O59" s="71"/>
    </row>
    <row r="60" spans="2:15" ht="15.75" customHeight="1">
      <c r="B60" s="57"/>
      <c r="C60" s="68"/>
      <c r="D60" s="68"/>
      <c r="E60" s="68"/>
      <c r="F60" s="69"/>
      <c r="G60" s="70"/>
      <c r="H60" s="70"/>
      <c r="I60" s="79"/>
      <c r="J60" s="80"/>
      <c r="K60" s="80"/>
      <c r="L60" s="70"/>
      <c r="M60" s="79"/>
      <c r="N60" s="70"/>
      <c r="O60" s="71"/>
    </row>
    <row r="61" spans="2:15" ht="15.75" customHeight="1">
      <c r="B61" s="57"/>
      <c r="C61" s="68"/>
      <c r="D61" s="68"/>
      <c r="E61" s="68"/>
      <c r="F61" s="69"/>
      <c r="G61" s="70"/>
      <c r="H61" s="70"/>
      <c r="I61" s="79"/>
      <c r="J61" s="80"/>
      <c r="K61" s="80"/>
      <c r="L61" s="70"/>
      <c r="M61" s="79"/>
      <c r="N61" s="70"/>
      <c r="O61" s="71"/>
    </row>
    <row r="62" spans="2:15" ht="15.75" customHeight="1">
      <c r="B62" s="57"/>
      <c r="C62" s="68"/>
      <c r="D62" s="68"/>
      <c r="E62" s="68"/>
      <c r="F62" s="69"/>
      <c r="G62" s="70"/>
      <c r="H62" s="70"/>
      <c r="I62" s="79"/>
      <c r="J62" s="80"/>
      <c r="K62" s="80"/>
      <c r="L62" s="70"/>
      <c r="M62" s="79"/>
      <c r="N62" s="70"/>
      <c r="O62" s="71"/>
    </row>
    <row r="63" spans="2:15" ht="15.75" customHeight="1">
      <c r="B63" s="57"/>
      <c r="C63" s="68"/>
      <c r="D63" s="68"/>
      <c r="E63" s="68"/>
      <c r="F63" s="69"/>
      <c r="G63" s="70"/>
      <c r="H63" s="70"/>
      <c r="I63" s="79"/>
      <c r="J63" s="80"/>
      <c r="K63" s="80"/>
      <c r="L63" s="70"/>
      <c r="M63" s="79"/>
      <c r="N63" s="70"/>
      <c r="O63" s="71"/>
    </row>
    <row r="64" spans="2:15" ht="15.75" customHeight="1">
      <c r="B64" s="57"/>
      <c r="C64" s="68"/>
      <c r="D64" s="68"/>
      <c r="E64" s="68"/>
      <c r="F64" s="69"/>
      <c r="G64" s="70"/>
      <c r="H64" s="70"/>
      <c r="I64" s="79"/>
      <c r="J64" s="80"/>
      <c r="K64" s="80"/>
      <c r="L64" s="70"/>
      <c r="M64" s="79"/>
      <c r="N64" s="70"/>
      <c r="O64" s="71"/>
    </row>
    <row r="65" spans="2:15" ht="15.75" customHeight="1">
      <c r="B65" s="57"/>
      <c r="C65" s="68"/>
      <c r="D65" s="68"/>
      <c r="E65" s="68"/>
      <c r="F65" s="69"/>
      <c r="G65" s="70"/>
      <c r="H65" s="70"/>
      <c r="I65" s="79"/>
      <c r="J65" s="80"/>
      <c r="K65" s="80"/>
      <c r="L65" s="70"/>
      <c r="M65" s="79"/>
      <c r="N65" s="70"/>
      <c r="O65" s="71"/>
    </row>
    <row r="66" spans="2:15" ht="15.75" customHeight="1">
      <c r="B66" s="57"/>
      <c r="C66" s="68"/>
      <c r="D66" s="68"/>
      <c r="E66" s="68"/>
      <c r="F66" s="69"/>
      <c r="G66" s="70"/>
      <c r="H66" s="70"/>
      <c r="I66" s="79"/>
      <c r="J66" s="80"/>
      <c r="K66" s="80"/>
      <c r="L66" s="70"/>
      <c r="M66" s="79"/>
      <c r="N66" s="70"/>
      <c r="O66" s="71"/>
    </row>
    <row r="67" spans="2:15" ht="15.75" customHeight="1">
      <c r="B67" s="57"/>
      <c r="C67" s="68"/>
      <c r="D67" s="68"/>
      <c r="E67" s="68"/>
      <c r="F67" s="69"/>
      <c r="G67" s="70"/>
      <c r="H67" s="70"/>
      <c r="I67" s="79"/>
      <c r="J67" s="80"/>
      <c r="K67" s="80"/>
      <c r="L67" s="70"/>
      <c r="M67" s="79"/>
      <c r="N67" s="70"/>
      <c r="O67" s="71"/>
    </row>
    <row r="68" spans="2:15" ht="15.75" customHeight="1">
      <c r="B68" s="57"/>
      <c r="C68" s="68"/>
      <c r="D68" s="68"/>
      <c r="E68" s="68"/>
      <c r="F68" s="69"/>
      <c r="G68" s="70"/>
      <c r="H68" s="70"/>
      <c r="I68" s="79"/>
      <c r="J68" s="80"/>
      <c r="K68" s="80"/>
      <c r="L68" s="70"/>
      <c r="M68" s="79"/>
      <c r="N68" s="70"/>
      <c r="O68" s="71"/>
    </row>
    <row r="69" spans="2:15" ht="15.75" customHeight="1">
      <c r="B69" s="57"/>
      <c r="C69" s="68"/>
      <c r="D69" s="68"/>
      <c r="E69" s="68"/>
      <c r="F69" s="69"/>
      <c r="G69" s="70"/>
      <c r="H69" s="70"/>
      <c r="I69" s="79"/>
      <c r="J69" s="80"/>
      <c r="K69" s="80"/>
      <c r="L69" s="70"/>
      <c r="M69" s="79"/>
      <c r="N69" s="70"/>
      <c r="O69" s="71"/>
    </row>
    <row r="70" spans="2:15" ht="15.75" customHeight="1">
      <c r="B70" s="57"/>
      <c r="C70" s="68"/>
      <c r="D70" s="68"/>
      <c r="E70" s="68"/>
      <c r="F70" s="69"/>
      <c r="G70" s="70"/>
      <c r="H70" s="70"/>
      <c r="I70" s="79"/>
      <c r="J70" s="80"/>
      <c r="K70" s="80"/>
      <c r="L70" s="70"/>
      <c r="M70" s="79"/>
      <c r="N70" s="70"/>
      <c r="O70" s="71"/>
    </row>
    <row r="71" spans="2:15" ht="15.75" customHeight="1">
      <c r="B71" s="57"/>
      <c r="C71" s="68"/>
      <c r="D71" s="68"/>
      <c r="E71" s="68"/>
      <c r="F71" s="69"/>
      <c r="G71" s="70"/>
      <c r="H71" s="70"/>
      <c r="I71" s="79"/>
      <c r="J71" s="80"/>
      <c r="K71" s="80"/>
      <c r="L71" s="70"/>
      <c r="M71" s="79"/>
      <c r="N71" s="70"/>
      <c r="O71" s="71"/>
    </row>
    <row r="72" spans="2:15" ht="15.75" customHeight="1">
      <c r="B72" s="57"/>
      <c r="C72" s="68"/>
      <c r="D72" s="68"/>
      <c r="E72" s="68"/>
      <c r="F72" s="69"/>
      <c r="G72" s="70"/>
      <c r="H72" s="70"/>
      <c r="I72" s="79"/>
      <c r="J72" s="80"/>
      <c r="K72" s="80"/>
      <c r="L72" s="70"/>
      <c r="M72" s="79"/>
      <c r="N72" s="70"/>
      <c r="O72" s="71"/>
    </row>
    <row r="73" spans="2:15" ht="15.75" customHeight="1">
      <c r="B73" s="57"/>
      <c r="C73" s="68"/>
      <c r="D73" s="68"/>
      <c r="E73" s="68"/>
      <c r="F73" s="69"/>
      <c r="G73" s="70"/>
      <c r="H73" s="70"/>
      <c r="I73" s="79"/>
      <c r="J73" s="80"/>
      <c r="K73" s="80"/>
      <c r="L73" s="70"/>
      <c r="M73" s="79"/>
      <c r="N73" s="70"/>
      <c r="O73" s="71"/>
    </row>
    <row r="74" spans="2:15" ht="15.75" customHeight="1">
      <c r="B74" s="57"/>
      <c r="C74" s="68"/>
      <c r="D74" s="68"/>
      <c r="E74" s="68"/>
      <c r="F74" s="69"/>
      <c r="G74" s="70"/>
      <c r="H74" s="70"/>
      <c r="I74" s="79"/>
      <c r="J74" s="80"/>
      <c r="K74" s="80"/>
      <c r="L74" s="70"/>
      <c r="M74" s="79"/>
      <c r="N74" s="70"/>
      <c r="O74" s="71"/>
    </row>
    <row r="75" spans="2:15" ht="15.75" customHeight="1">
      <c r="B75" s="57"/>
      <c r="C75" s="68"/>
      <c r="D75" s="68"/>
      <c r="E75" s="68"/>
      <c r="F75" s="69"/>
      <c r="G75" s="70"/>
      <c r="H75" s="70"/>
      <c r="I75" s="79"/>
      <c r="J75" s="80"/>
      <c r="K75" s="80"/>
      <c r="L75" s="70"/>
      <c r="M75" s="79"/>
      <c r="N75" s="70"/>
      <c r="O75" s="71"/>
    </row>
    <row r="76" spans="2:15" ht="15.75" customHeight="1">
      <c r="B76" s="57"/>
      <c r="C76" s="68"/>
      <c r="D76" s="68"/>
      <c r="E76" s="68"/>
      <c r="F76" s="69"/>
      <c r="G76" s="70"/>
      <c r="H76" s="70"/>
      <c r="I76" s="79"/>
      <c r="J76" s="80"/>
      <c r="K76" s="80"/>
      <c r="L76" s="70"/>
      <c r="M76" s="79"/>
      <c r="N76" s="70"/>
      <c r="O76" s="71"/>
    </row>
    <row r="77" spans="2:15" ht="15.75" customHeight="1">
      <c r="B77" s="57"/>
      <c r="C77" s="68"/>
      <c r="D77" s="68"/>
      <c r="E77" s="68"/>
      <c r="F77" s="69"/>
      <c r="G77" s="70"/>
      <c r="H77" s="70"/>
      <c r="I77" s="79"/>
      <c r="J77" s="80"/>
      <c r="K77" s="80"/>
      <c r="L77" s="70"/>
      <c r="M77" s="79"/>
      <c r="N77" s="70"/>
      <c r="O77" s="71"/>
    </row>
    <row r="78" spans="2:15" ht="15.75" customHeight="1">
      <c r="B78" s="57"/>
      <c r="C78" s="68"/>
      <c r="D78" s="68"/>
      <c r="E78" s="68"/>
      <c r="F78" s="69"/>
      <c r="G78" s="70"/>
      <c r="H78" s="70"/>
      <c r="I78" s="79"/>
      <c r="J78" s="80"/>
      <c r="K78" s="80"/>
      <c r="L78" s="70"/>
      <c r="M78" s="79"/>
      <c r="N78" s="70"/>
      <c r="O78" s="71"/>
    </row>
    <row r="79" spans="2:15" ht="15.75" customHeight="1">
      <c r="B79" s="57"/>
      <c r="C79" s="68"/>
      <c r="D79" s="68"/>
      <c r="E79" s="68"/>
      <c r="F79" s="69"/>
      <c r="G79" s="70"/>
      <c r="H79" s="70"/>
      <c r="I79" s="79"/>
      <c r="J79" s="80"/>
      <c r="K79" s="80"/>
      <c r="L79" s="70"/>
      <c r="M79" s="79"/>
      <c r="N79" s="70"/>
      <c r="O79" s="71"/>
    </row>
    <row r="80" spans="2:15" ht="15.75" customHeight="1">
      <c r="B80" s="57"/>
      <c r="C80" s="68"/>
      <c r="D80" s="68"/>
      <c r="E80" s="68"/>
      <c r="F80" s="69"/>
      <c r="G80" s="70"/>
      <c r="H80" s="70"/>
      <c r="I80" s="79"/>
      <c r="J80" s="80"/>
      <c r="K80" s="80"/>
      <c r="L80" s="70"/>
      <c r="M80" s="79"/>
      <c r="N80" s="70"/>
      <c r="O80" s="71"/>
    </row>
    <row r="81" spans="2:15" ht="15.75" customHeight="1">
      <c r="B81" s="57"/>
      <c r="C81" s="68"/>
      <c r="D81" s="68"/>
      <c r="E81" s="68"/>
      <c r="F81" s="69"/>
      <c r="G81" s="70"/>
      <c r="H81" s="70"/>
      <c r="I81" s="79"/>
      <c r="J81" s="80"/>
      <c r="K81" s="80"/>
      <c r="L81" s="70"/>
      <c r="M81" s="79"/>
      <c r="N81" s="70"/>
      <c r="O81" s="71"/>
    </row>
    <row r="82" spans="2:15" ht="15.75" customHeight="1">
      <c r="B82" s="57"/>
      <c r="C82" s="68"/>
      <c r="D82" s="68"/>
      <c r="E82" s="68"/>
      <c r="F82" s="69"/>
      <c r="G82" s="70"/>
      <c r="H82" s="70"/>
      <c r="I82" s="79"/>
      <c r="J82" s="80"/>
      <c r="K82" s="80"/>
      <c r="L82" s="70"/>
      <c r="M82" s="79"/>
      <c r="N82" s="70"/>
      <c r="O82" s="71"/>
    </row>
    <row r="83" spans="2:15" ht="15.75" customHeight="1">
      <c r="B83" s="57"/>
      <c r="C83" s="68"/>
      <c r="D83" s="68"/>
      <c r="E83" s="68"/>
      <c r="F83" s="69"/>
      <c r="G83" s="70"/>
      <c r="H83" s="70"/>
      <c r="I83" s="79"/>
      <c r="J83" s="80"/>
      <c r="K83" s="80"/>
      <c r="L83" s="70"/>
      <c r="M83" s="79"/>
      <c r="N83" s="70"/>
      <c r="O83" s="71"/>
    </row>
    <row r="84" spans="2:15" ht="15.75" customHeight="1">
      <c r="B84" s="57"/>
      <c r="C84" s="68"/>
      <c r="D84" s="68"/>
      <c r="E84" s="68"/>
      <c r="F84" s="69"/>
      <c r="G84" s="70"/>
      <c r="H84" s="70"/>
      <c r="I84" s="79"/>
      <c r="J84" s="80"/>
      <c r="K84" s="80"/>
      <c r="L84" s="70"/>
      <c r="M84" s="79"/>
      <c r="N84" s="70"/>
      <c r="O84" s="71"/>
    </row>
    <row r="85" spans="2:15" ht="15.75" customHeight="1">
      <c r="B85" s="57"/>
      <c r="C85" s="68"/>
      <c r="D85" s="68"/>
      <c r="E85" s="68"/>
      <c r="F85" s="69"/>
      <c r="G85" s="70"/>
      <c r="H85" s="70"/>
      <c r="I85" s="79"/>
      <c r="J85" s="80"/>
      <c r="K85" s="80"/>
      <c r="L85" s="70"/>
      <c r="M85" s="79"/>
      <c r="N85" s="70"/>
      <c r="O85" s="71"/>
    </row>
    <row r="86" spans="2:15" ht="15.75" customHeight="1">
      <c r="B86" s="57"/>
      <c r="C86" s="68"/>
      <c r="D86" s="68"/>
      <c r="E86" s="68"/>
      <c r="F86" s="69"/>
      <c r="G86" s="70"/>
      <c r="H86" s="70"/>
      <c r="I86" s="79"/>
      <c r="J86" s="80"/>
      <c r="K86" s="80"/>
      <c r="L86" s="70"/>
      <c r="M86" s="79"/>
      <c r="N86" s="70"/>
      <c r="O86" s="71"/>
    </row>
    <row r="87" spans="2:15" ht="15.75" customHeight="1">
      <c r="B87" s="57"/>
      <c r="C87" s="68"/>
      <c r="D87" s="68"/>
      <c r="E87" s="68"/>
      <c r="F87" s="69"/>
      <c r="G87" s="70"/>
      <c r="H87" s="70"/>
      <c r="I87" s="79"/>
      <c r="J87" s="80"/>
      <c r="K87" s="80"/>
      <c r="L87" s="70"/>
      <c r="M87" s="79"/>
      <c r="N87" s="70"/>
      <c r="O87" s="71"/>
    </row>
    <row r="88" spans="2:15" ht="15.75" customHeight="1">
      <c r="B88" s="57"/>
      <c r="C88" s="68"/>
      <c r="D88" s="68"/>
      <c r="E88" s="68"/>
      <c r="F88" s="69"/>
      <c r="G88" s="70"/>
      <c r="H88" s="70"/>
      <c r="I88" s="79"/>
      <c r="J88" s="80"/>
      <c r="K88" s="80"/>
      <c r="L88" s="70"/>
      <c r="M88" s="79"/>
      <c r="N88" s="70"/>
      <c r="O88" s="71"/>
    </row>
    <row r="89" spans="2:15" ht="15.75" customHeight="1">
      <c r="B89" s="57"/>
      <c r="C89" s="68"/>
      <c r="D89" s="68"/>
      <c r="E89" s="68"/>
      <c r="F89" s="69"/>
      <c r="G89" s="70"/>
      <c r="H89" s="70"/>
      <c r="I89" s="79"/>
      <c r="J89" s="80"/>
      <c r="K89" s="80"/>
      <c r="L89" s="70"/>
      <c r="M89" s="79"/>
      <c r="N89" s="70"/>
      <c r="O89" s="71"/>
    </row>
    <row r="90" spans="2:15" ht="15.75" customHeight="1">
      <c r="B90" s="57"/>
      <c r="C90" s="68"/>
      <c r="D90" s="68"/>
      <c r="E90" s="68"/>
      <c r="F90" s="69"/>
      <c r="G90" s="70"/>
      <c r="H90" s="70"/>
      <c r="I90" s="79"/>
      <c r="J90" s="80"/>
      <c r="K90" s="80"/>
      <c r="L90" s="70"/>
      <c r="M90" s="79"/>
      <c r="N90" s="70"/>
      <c r="O90" s="71"/>
    </row>
    <row r="91" spans="2:15" ht="15.75" customHeight="1">
      <c r="B91" s="57"/>
      <c r="C91" s="68"/>
      <c r="D91" s="68"/>
      <c r="E91" s="68"/>
      <c r="F91" s="69"/>
      <c r="G91" s="70"/>
      <c r="H91" s="70"/>
      <c r="I91" s="79"/>
      <c r="J91" s="80"/>
      <c r="K91" s="80"/>
      <c r="L91" s="70"/>
      <c r="M91" s="79"/>
      <c r="N91" s="70"/>
      <c r="O91" s="71"/>
    </row>
    <row r="92" spans="2:15" ht="15.75" customHeight="1">
      <c r="B92" s="57"/>
      <c r="C92" s="68"/>
      <c r="D92" s="68"/>
      <c r="E92" s="68"/>
      <c r="F92" s="69"/>
      <c r="G92" s="70"/>
      <c r="H92" s="70"/>
      <c r="I92" s="79"/>
      <c r="J92" s="80"/>
      <c r="K92" s="80"/>
      <c r="L92" s="70"/>
      <c r="M92" s="79"/>
      <c r="N92" s="70"/>
      <c r="O92" s="71"/>
    </row>
    <row r="93" spans="2:15" ht="15.75" customHeight="1">
      <c r="B93" s="57"/>
      <c r="C93" s="68"/>
      <c r="D93" s="68"/>
      <c r="E93" s="68"/>
      <c r="F93" s="69"/>
      <c r="G93" s="70"/>
      <c r="H93" s="70"/>
      <c r="I93" s="79"/>
      <c r="J93" s="80"/>
      <c r="K93" s="81"/>
      <c r="L93" s="70"/>
      <c r="M93" s="79"/>
      <c r="N93" s="70"/>
      <c r="O93" s="71"/>
    </row>
    <row r="94" spans="2:15" ht="15.75" customHeight="1">
      <c r="B94" s="57"/>
      <c r="C94" s="68"/>
      <c r="D94" s="68"/>
      <c r="E94" s="68"/>
      <c r="F94" s="69"/>
      <c r="G94" s="70"/>
      <c r="H94" s="70"/>
      <c r="I94" s="79"/>
      <c r="J94" s="80"/>
      <c r="K94" s="81"/>
      <c r="L94" s="70"/>
      <c r="M94" s="79"/>
      <c r="N94" s="70"/>
      <c r="O94" s="71"/>
    </row>
    <row r="95" spans="2:15" ht="15.75" customHeight="1">
      <c r="B95" s="57"/>
      <c r="C95" s="68"/>
      <c r="D95" s="68"/>
      <c r="E95" s="68"/>
      <c r="F95" s="69"/>
      <c r="G95" s="70"/>
      <c r="H95" s="70"/>
      <c r="I95" s="79"/>
      <c r="J95" s="80"/>
      <c r="K95" s="81"/>
      <c r="L95" s="70"/>
      <c r="M95" s="79"/>
      <c r="N95" s="70"/>
      <c r="O95" s="71"/>
    </row>
    <row r="96" spans="2:15" ht="15.75" customHeight="1">
      <c r="B96" s="57"/>
      <c r="C96" s="68"/>
      <c r="D96" s="68"/>
      <c r="E96" s="68"/>
      <c r="F96" s="69"/>
      <c r="G96" s="70"/>
      <c r="H96" s="70"/>
      <c r="I96" s="79"/>
      <c r="J96" s="80"/>
      <c r="K96" s="81"/>
      <c r="L96" s="70"/>
      <c r="M96" s="79"/>
      <c r="N96" s="70"/>
      <c r="O96" s="71"/>
    </row>
    <row r="97" spans="2:15" ht="15.75" customHeight="1">
      <c r="B97" s="57"/>
      <c r="C97" s="68"/>
      <c r="D97" s="68"/>
      <c r="E97" s="68"/>
      <c r="F97" s="69"/>
      <c r="G97" s="70"/>
      <c r="H97" s="70"/>
      <c r="I97" s="79"/>
      <c r="J97" s="80"/>
      <c r="K97" s="81"/>
      <c r="L97" s="70"/>
      <c r="M97" s="79"/>
      <c r="N97" s="70"/>
      <c r="O97" s="71"/>
    </row>
    <row r="98" spans="2:15" ht="15.75" customHeight="1">
      <c r="B98" s="57"/>
      <c r="C98" s="68"/>
      <c r="D98" s="68"/>
      <c r="E98" s="68"/>
      <c r="F98" s="69"/>
      <c r="G98" s="70"/>
      <c r="H98" s="70"/>
      <c r="I98" s="79"/>
      <c r="J98" s="80"/>
      <c r="K98" s="80"/>
      <c r="L98" s="70"/>
      <c r="M98" s="79"/>
      <c r="N98" s="70"/>
      <c r="O98" s="71"/>
    </row>
    <row r="99" spans="2:15" ht="15.75" customHeight="1">
      <c r="B99" s="57"/>
      <c r="C99" s="68"/>
      <c r="D99" s="68"/>
      <c r="E99" s="68"/>
      <c r="F99" s="69"/>
      <c r="G99" s="70"/>
      <c r="H99" s="70"/>
      <c r="I99" s="79"/>
      <c r="J99" s="80"/>
      <c r="K99" s="80"/>
      <c r="L99" s="70"/>
      <c r="M99" s="79"/>
      <c r="N99" s="70"/>
      <c r="O99" s="71"/>
    </row>
    <row r="100" spans="2:15" ht="15.75" customHeight="1">
      <c r="B100" s="57"/>
      <c r="C100" s="68"/>
      <c r="D100" s="68"/>
      <c r="E100" s="68"/>
      <c r="F100" s="69"/>
      <c r="G100" s="70"/>
      <c r="H100" s="70"/>
      <c r="I100" s="79"/>
      <c r="J100" s="80"/>
      <c r="K100" s="80"/>
      <c r="L100" s="70"/>
      <c r="M100" s="79"/>
      <c r="N100" s="70"/>
      <c r="O100" s="71"/>
    </row>
    <row r="101" spans="2:15" ht="15.75" customHeight="1">
      <c r="B101" s="57"/>
      <c r="C101" s="68"/>
      <c r="D101" s="68"/>
      <c r="E101" s="68"/>
      <c r="F101" s="69"/>
      <c r="G101" s="70"/>
      <c r="H101" s="70"/>
      <c r="I101" s="79"/>
      <c r="J101" s="80"/>
      <c r="K101" s="80"/>
      <c r="L101" s="70"/>
      <c r="M101" s="79"/>
      <c r="N101" s="70"/>
      <c r="O101" s="71"/>
    </row>
    <row r="102" spans="2:15" ht="15.75" customHeight="1">
      <c r="B102" s="57"/>
      <c r="C102" s="68"/>
      <c r="D102" s="68"/>
      <c r="E102" s="68"/>
      <c r="F102" s="69"/>
      <c r="G102" s="70"/>
      <c r="H102" s="70"/>
      <c r="I102" s="79"/>
      <c r="J102" s="80"/>
      <c r="K102" s="80"/>
      <c r="L102" s="70"/>
      <c r="M102" s="79"/>
      <c r="N102" s="70"/>
      <c r="O102" s="71"/>
    </row>
    <row r="103" spans="2:15" ht="15.75" customHeight="1">
      <c r="B103" s="57"/>
      <c r="C103" s="68"/>
      <c r="D103" s="68"/>
      <c r="E103" s="68"/>
      <c r="F103" s="69"/>
      <c r="G103" s="70"/>
      <c r="H103" s="70"/>
      <c r="I103" s="79"/>
      <c r="J103" s="80"/>
      <c r="K103" s="80"/>
      <c r="L103" s="70"/>
      <c r="M103" s="79"/>
      <c r="N103" s="70"/>
      <c r="O103" s="71"/>
    </row>
    <row r="104" spans="2:15" ht="15.75" customHeight="1">
      <c r="B104" s="57"/>
      <c r="C104" s="68"/>
      <c r="D104" s="68"/>
      <c r="E104" s="68"/>
      <c r="F104" s="69"/>
      <c r="G104" s="70"/>
      <c r="H104" s="70"/>
      <c r="I104" s="79"/>
      <c r="J104" s="80"/>
      <c r="K104" s="80"/>
      <c r="L104" s="70"/>
      <c r="M104" s="79"/>
      <c r="N104" s="70"/>
      <c r="O104" s="71"/>
    </row>
    <row r="105" spans="2:15" ht="15.75" customHeight="1">
      <c r="B105" s="57"/>
      <c r="C105" s="68"/>
      <c r="D105" s="68"/>
      <c r="E105" s="68"/>
      <c r="F105" s="69"/>
      <c r="G105" s="70"/>
      <c r="H105" s="70"/>
      <c r="I105" s="79"/>
      <c r="J105" s="80"/>
      <c r="K105" s="80"/>
      <c r="L105" s="70"/>
      <c r="M105" s="79"/>
      <c r="N105" s="70"/>
      <c r="O105" s="71"/>
    </row>
    <row r="106" spans="2:15" ht="15.75" customHeight="1">
      <c r="B106" s="57"/>
      <c r="C106" s="68"/>
      <c r="D106" s="68"/>
      <c r="E106" s="68"/>
      <c r="F106" s="69"/>
      <c r="G106" s="70"/>
      <c r="H106" s="70"/>
      <c r="I106" s="79"/>
      <c r="J106" s="80"/>
      <c r="K106" s="80"/>
      <c r="L106" s="70"/>
      <c r="M106" s="79"/>
      <c r="N106" s="70"/>
      <c r="O106" s="71"/>
    </row>
    <row r="107" spans="2:15" ht="15.75" customHeight="1">
      <c r="B107" s="57"/>
      <c r="C107" s="68"/>
      <c r="D107" s="68"/>
      <c r="E107" s="68"/>
      <c r="F107" s="69"/>
      <c r="G107" s="70"/>
      <c r="H107" s="70"/>
      <c r="I107" s="79"/>
      <c r="J107" s="80"/>
      <c r="K107" s="80"/>
      <c r="L107" s="70"/>
      <c r="M107" s="79"/>
      <c r="N107" s="70"/>
      <c r="O107" s="71"/>
    </row>
    <row r="108" spans="2:15" ht="15.75" customHeight="1">
      <c r="B108" s="57"/>
      <c r="C108" s="68"/>
      <c r="D108" s="68"/>
      <c r="E108" s="68"/>
      <c r="F108" s="69"/>
      <c r="G108" s="70"/>
      <c r="H108" s="70"/>
      <c r="I108" s="79"/>
      <c r="J108" s="80"/>
      <c r="K108" s="80"/>
      <c r="L108" s="70"/>
      <c r="M108" s="79"/>
      <c r="N108" s="70"/>
      <c r="O108" s="71"/>
    </row>
    <row r="109" spans="2:15" ht="15.75" customHeight="1">
      <c r="B109" s="57"/>
      <c r="C109" s="68"/>
      <c r="D109" s="68"/>
      <c r="E109" s="68"/>
      <c r="F109" s="69"/>
      <c r="G109" s="70"/>
      <c r="H109" s="70"/>
      <c r="I109" s="79"/>
      <c r="J109" s="80"/>
      <c r="K109" s="80"/>
      <c r="L109" s="70"/>
      <c r="M109" s="79"/>
      <c r="N109" s="70"/>
      <c r="O109" s="71"/>
    </row>
    <row r="110" spans="2:15" ht="15.75" customHeight="1">
      <c r="B110" s="57"/>
      <c r="C110" s="68"/>
      <c r="D110" s="68"/>
      <c r="E110" s="68"/>
      <c r="F110" s="69"/>
      <c r="G110" s="70"/>
      <c r="H110" s="70"/>
      <c r="I110" s="79"/>
      <c r="J110" s="80"/>
      <c r="K110" s="80"/>
      <c r="L110" s="70"/>
      <c r="M110" s="79"/>
      <c r="N110" s="70"/>
      <c r="O110" s="71"/>
    </row>
    <row r="111" spans="2:15" ht="15.75" customHeight="1">
      <c r="B111" s="57"/>
      <c r="C111" s="68"/>
      <c r="D111" s="68"/>
      <c r="E111" s="68"/>
      <c r="F111" s="69"/>
      <c r="G111" s="70"/>
      <c r="H111" s="70"/>
      <c r="I111" s="79"/>
      <c r="J111" s="80"/>
      <c r="K111" s="80"/>
      <c r="L111" s="70"/>
      <c r="M111" s="79"/>
      <c r="N111" s="70"/>
      <c r="O111" s="71"/>
    </row>
    <row r="112" spans="2:15" ht="15.75" customHeight="1">
      <c r="B112" s="57"/>
      <c r="C112" s="68"/>
      <c r="D112" s="68"/>
      <c r="E112" s="68"/>
      <c r="F112" s="69"/>
      <c r="G112" s="70"/>
      <c r="H112" s="70"/>
      <c r="I112" s="79"/>
      <c r="J112" s="80"/>
      <c r="K112" s="80"/>
      <c r="L112" s="70"/>
      <c r="M112" s="79"/>
      <c r="N112" s="70"/>
      <c r="O112" s="71"/>
    </row>
    <row r="113" spans="2:15" ht="15.75" customHeight="1">
      <c r="B113" s="57"/>
      <c r="C113" s="68"/>
      <c r="D113" s="68"/>
      <c r="E113" s="68"/>
      <c r="F113" s="69"/>
      <c r="G113" s="70"/>
      <c r="H113" s="70"/>
      <c r="I113" s="79"/>
      <c r="J113" s="80"/>
      <c r="K113" s="80"/>
      <c r="L113" s="70"/>
      <c r="M113" s="79"/>
      <c r="N113" s="70"/>
      <c r="O113" s="71"/>
    </row>
    <row r="114" spans="2:15" ht="15.75" customHeight="1">
      <c r="B114" s="57"/>
      <c r="C114" s="68"/>
      <c r="D114" s="68"/>
      <c r="E114" s="68"/>
      <c r="F114" s="69"/>
      <c r="G114" s="70"/>
      <c r="H114" s="70"/>
      <c r="I114" s="79"/>
      <c r="J114" s="80"/>
      <c r="K114" s="80"/>
      <c r="L114" s="70"/>
      <c r="M114" s="79"/>
      <c r="N114" s="70"/>
      <c r="O114" s="71"/>
    </row>
    <row r="115" spans="2:15" ht="15.75" customHeight="1">
      <c r="B115" s="57"/>
      <c r="C115" s="68"/>
      <c r="D115" s="68"/>
      <c r="E115" s="68"/>
      <c r="F115" s="69"/>
      <c r="G115" s="70"/>
      <c r="H115" s="70"/>
      <c r="I115" s="79"/>
      <c r="J115" s="80"/>
      <c r="K115" s="80"/>
      <c r="L115" s="70"/>
      <c r="M115" s="79"/>
      <c r="N115" s="70"/>
      <c r="O115" s="71"/>
    </row>
    <row r="116" spans="2:15" ht="15.75" customHeight="1">
      <c r="B116" s="57"/>
      <c r="C116" s="68"/>
      <c r="D116" s="68"/>
      <c r="E116" s="68"/>
      <c r="F116" s="69"/>
      <c r="G116" s="70"/>
      <c r="H116" s="70"/>
      <c r="I116" s="79"/>
      <c r="J116" s="80"/>
      <c r="K116" s="80"/>
      <c r="L116" s="70"/>
      <c r="M116" s="79"/>
      <c r="N116" s="70"/>
      <c r="O116" s="71"/>
    </row>
    <row r="117" spans="2:15" ht="15.75" customHeight="1">
      <c r="B117" s="57"/>
      <c r="C117" s="68"/>
      <c r="D117" s="68"/>
      <c r="E117" s="68"/>
      <c r="F117" s="69"/>
      <c r="G117" s="70"/>
      <c r="H117" s="70"/>
      <c r="I117" s="79"/>
      <c r="J117" s="80"/>
      <c r="K117" s="80"/>
      <c r="L117" s="70"/>
      <c r="M117" s="79"/>
      <c r="N117" s="70"/>
      <c r="O117" s="71"/>
    </row>
    <row r="118" spans="2:15" ht="15.75" customHeight="1">
      <c r="B118" s="57"/>
      <c r="C118" s="68"/>
      <c r="D118" s="68"/>
      <c r="E118" s="68"/>
      <c r="F118" s="69"/>
      <c r="G118" s="70"/>
      <c r="H118" s="70"/>
      <c r="I118" s="79"/>
      <c r="J118" s="80"/>
      <c r="K118" s="80"/>
      <c r="L118" s="70"/>
      <c r="M118" s="79"/>
      <c r="N118" s="70"/>
      <c r="O118" s="71"/>
    </row>
    <row r="119" spans="2:15" ht="15.75" customHeight="1">
      <c r="B119" s="57"/>
      <c r="C119" s="68"/>
      <c r="D119" s="68"/>
      <c r="E119" s="68"/>
      <c r="F119" s="69"/>
      <c r="G119" s="70"/>
      <c r="H119" s="70"/>
      <c r="I119" s="79"/>
      <c r="J119" s="80"/>
      <c r="K119" s="80"/>
      <c r="L119" s="70"/>
      <c r="M119" s="79"/>
      <c r="N119" s="70"/>
      <c r="O119" s="71"/>
    </row>
    <row r="120" spans="2:15" ht="15.75" customHeight="1">
      <c r="B120" s="57"/>
      <c r="C120" s="68"/>
      <c r="D120" s="68"/>
      <c r="E120" s="68"/>
      <c r="F120" s="69"/>
      <c r="G120" s="70"/>
      <c r="H120" s="70"/>
      <c r="I120" s="79"/>
      <c r="J120" s="80"/>
      <c r="K120" s="80"/>
      <c r="L120" s="70"/>
      <c r="M120" s="79"/>
      <c r="N120" s="70"/>
      <c r="O120" s="71"/>
    </row>
    <row r="121" spans="2:15" ht="15.75" customHeight="1">
      <c r="B121" s="57"/>
      <c r="C121" s="68"/>
      <c r="D121" s="68"/>
      <c r="E121" s="68"/>
      <c r="F121" s="69"/>
      <c r="G121" s="70"/>
      <c r="H121" s="70"/>
      <c r="I121" s="79"/>
      <c r="J121" s="80"/>
      <c r="K121" s="80"/>
      <c r="L121" s="70"/>
      <c r="M121" s="79"/>
      <c r="N121" s="70"/>
      <c r="O121" s="71"/>
    </row>
    <row r="122" spans="2:15" ht="15.75" customHeight="1">
      <c r="B122" s="57"/>
      <c r="C122" s="68"/>
      <c r="D122" s="68"/>
      <c r="E122" s="68"/>
      <c r="F122" s="69"/>
      <c r="G122" s="70"/>
      <c r="H122" s="70"/>
      <c r="I122" s="79"/>
      <c r="J122" s="80"/>
      <c r="K122" s="80"/>
      <c r="L122" s="70"/>
      <c r="M122" s="79"/>
      <c r="N122" s="70"/>
      <c r="O122" s="71"/>
    </row>
    <row r="123" spans="2:15" ht="15.75" customHeight="1">
      <c r="B123" s="57"/>
      <c r="C123" s="68"/>
      <c r="D123" s="68"/>
      <c r="E123" s="68"/>
      <c r="F123" s="69"/>
      <c r="G123" s="70"/>
      <c r="H123" s="70"/>
      <c r="I123" s="79"/>
      <c r="J123" s="80"/>
      <c r="K123" s="80"/>
      <c r="L123" s="70"/>
      <c r="M123" s="79"/>
      <c r="N123" s="70"/>
      <c r="O123" s="71"/>
    </row>
    <row r="124" spans="2:15" ht="15.75" customHeight="1">
      <c r="B124" s="57"/>
      <c r="C124" s="68"/>
      <c r="D124" s="68"/>
      <c r="E124" s="68"/>
      <c r="F124" s="69"/>
      <c r="G124" s="70"/>
      <c r="H124" s="70"/>
      <c r="I124" s="79"/>
      <c r="J124" s="80"/>
      <c r="K124" s="80"/>
      <c r="L124" s="70"/>
      <c r="M124" s="79"/>
      <c r="N124" s="70"/>
      <c r="O124" s="71"/>
    </row>
    <row r="125" spans="2:15" ht="15.75" customHeight="1">
      <c r="B125" s="57"/>
      <c r="C125" s="68"/>
      <c r="D125" s="68"/>
      <c r="E125" s="68"/>
      <c r="F125" s="69"/>
      <c r="G125" s="70"/>
      <c r="H125" s="70"/>
      <c r="I125" s="79"/>
      <c r="J125" s="80"/>
      <c r="K125" s="80"/>
      <c r="L125" s="70"/>
      <c r="M125" s="79"/>
      <c r="N125" s="70"/>
      <c r="O125" s="71"/>
    </row>
    <row r="126" spans="2:15" ht="15.75" customHeight="1">
      <c r="B126" s="57"/>
      <c r="C126" s="68"/>
      <c r="D126" s="68"/>
      <c r="E126" s="68"/>
      <c r="F126" s="69"/>
      <c r="G126" s="70"/>
      <c r="H126" s="70"/>
      <c r="I126" s="79"/>
      <c r="J126" s="80"/>
      <c r="K126" s="80"/>
      <c r="L126" s="70"/>
      <c r="M126" s="79"/>
      <c r="N126" s="70"/>
      <c r="O126" s="71"/>
    </row>
    <row r="127" spans="2:15" ht="15.75" customHeight="1">
      <c r="B127" s="57"/>
      <c r="C127" s="68"/>
      <c r="D127" s="68"/>
      <c r="E127" s="68"/>
      <c r="F127" s="69"/>
      <c r="G127" s="70"/>
      <c r="H127" s="70"/>
      <c r="I127" s="79"/>
      <c r="J127" s="80"/>
      <c r="K127" s="80"/>
      <c r="L127" s="70"/>
      <c r="M127" s="79"/>
      <c r="N127" s="70"/>
      <c r="O127" s="71"/>
    </row>
    <row r="128" spans="2:15" ht="15.75" customHeight="1">
      <c r="B128" s="57"/>
      <c r="C128" s="68"/>
      <c r="D128" s="68"/>
      <c r="E128" s="68"/>
      <c r="F128" s="69"/>
      <c r="G128" s="70"/>
      <c r="H128" s="70"/>
      <c r="I128" s="79"/>
      <c r="J128" s="80"/>
      <c r="K128" s="80"/>
      <c r="L128" s="70"/>
      <c r="M128" s="79"/>
      <c r="N128" s="70"/>
      <c r="O128" s="71"/>
    </row>
    <row r="129" spans="2:15" ht="15.75" customHeight="1">
      <c r="B129" s="57"/>
      <c r="C129" s="68"/>
      <c r="D129" s="68"/>
      <c r="E129" s="68"/>
      <c r="F129" s="69"/>
      <c r="G129" s="70"/>
      <c r="H129" s="70"/>
      <c r="I129" s="79"/>
      <c r="J129" s="80"/>
      <c r="K129" s="80"/>
      <c r="L129" s="70"/>
      <c r="M129" s="79"/>
      <c r="N129" s="70"/>
      <c r="O129" s="71"/>
    </row>
    <row r="130" spans="2:15" ht="15.75" customHeight="1">
      <c r="B130" s="57"/>
      <c r="C130" s="68"/>
      <c r="D130" s="68"/>
      <c r="E130" s="68"/>
      <c r="F130" s="69"/>
      <c r="G130" s="70"/>
      <c r="H130" s="70"/>
      <c r="I130" s="79"/>
      <c r="J130" s="80"/>
      <c r="K130" s="80"/>
      <c r="L130" s="70"/>
      <c r="M130" s="79"/>
      <c r="N130" s="70"/>
      <c r="O130" s="71"/>
    </row>
    <row r="131" spans="2:15" ht="15.75" customHeight="1">
      <c r="B131" s="57"/>
      <c r="C131" s="68"/>
      <c r="D131" s="68"/>
      <c r="E131" s="68"/>
      <c r="F131" s="69"/>
      <c r="G131" s="70"/>
      <c r="H131" s="70"/>
      <c r="I131" s="79"/>
      <c r="J131" s="80"/>
      <c r="K131" s="80"/>
      <c r="L131" s="70"/>
      <c r="M131" s="79"/>
      <c r="N131" s="70"/>
      <c r="O131" s="71"/>
    </row>
    <row r="132" spans="2:15" ht="15.75" customHeight="1">
      <c r="B132" s="57"/>
      <c r="C132" s="68"/>
      <c r="D132" s="68"/>
      <c r="E132" s="68"/>
      <c r="F132" s="69"/>
      <c r="G132" s="70"/>
      <c r="H132" s="70"/>
      <c r="I132" s="79"/>
      <c r="J132" s="80"/>
      <c r="K132" s="80"/>
      <c r="L132" s="70"/>
      <c r="M132" s="79"/>
      <c r="N132" s="70"/>
      <c r="O132" s="71"/>
    </row>
    <row r="133" spans="2:15" ht="15.75" customHeight="1">
      <c r="B133" s="57"/>
      <c r="C133" s="68"/>
      <c r="D133" s="68"/>
      <c r="E133" s="68"/>
      <c r="F133" s="69"/>
      <c r="G133" s="70"/>
      <c r="H133" s="70"/>
      <c r="I133" s="79"/>
      <c r="J133" s="80"/>
      <c r="K133" s="80"/>
      <c r="L133" s="70"/>
      <c r="M133" s="79"/>
      <c r="N133" s="70"/>
      <c r="O133" s="71"/>
    </row>
    <row r="134" spans="2:15" ht="15.75" customHeight="1">
      <c r="B134" s="57"/>
      <c r="C134" s="68"/>
      <c r="D134" s="68"/>
      <c r="E134" s="68"/>
      <c r="F134" s="69"/>
      <c r="G134" s="70"/>
      <c r="H134" s="70"/>
      <c r="I134" s="79"/>
      <c r="J134" s="80"/>
      <c r="K134" s="80"/>
      <c r="L134" s="70"/>
      <c r="M134" s="79"/>
      <c r="N134" s="70"/>
      <c r="O134" s="71"/>
    </row>
    <row r="135" spans="2:15" ht="15.75" customHeight="1">
      <c r="B135" s="57"/>
      <c r="C135" s="68"/>
      <c r="D135" s="68"/>
      <c r="E135" s="68"/>
      <c r="F135" s="69"/>
      <c r="G135" s="70"/>
      <c r="H135" s="70"/>
      <c r="I135" s="79"/>
      <c r="J135" s="80"/>
      <c r="K135" s="80"/>
      <c r="L135" s="70"/>
      <c r="M135" s="79"/>
      <c r="N135" s="70"/>
      <c r="O135" s="71"/>
    </row>
    <row r="136" spans="2:15" ht="15.75" customHeight="1">
      <c r="B136" s="57"/>
      <c r="C136" s="68"/>
      <c r="D136" s="68"/>
      <c r="E136" s="68"/>
      <c r="F136" s="69"/>
      <c r="G136" s="70"/>
      <c r="H136" s="70"/>
      <c r="I136" s="79"/>
      <c r="J136" s="80"/>
      <c r="K136" s="80"/>
      <c r="L136" s="70"/>
      <c r="M136" s="79"/>
      <c r="N136" s="70"/>
      <c r="O136" s="71"/>
    </row>
    <row r="137" spans="2:15" ht="15.75" customHeight="1">
      <c r="B137" s="57"/>
      <c r="C137" s="68"/>
      <c r="D137" s="68"/>
      <c r="E137" s="68"/>
      <c r="F137" s="69"/>
      <c r="G137" s="70"/>
      <c r="H137" s="70"/>
      <c r="I137" s="79"/>
      <c r="J137" s="80"/>
      <c r="K137" s="80"/>
      <c r="L137" s="70"/>
      <c r="M137" s="79"/>
      <c r="N137" s="70"/>
      <c r="O137" s="71"/>
    </row>
    <row r="138" spans="2:15" ht="15.75" customHeight="1">
      <c r="B138" s="57"/>
      <c r="C138" s="68"/>
      <c r="D138" s="68"/>
      <c r="E138" s="68"/>
      <c r="F138" s="69"/>
      <c r="G138" s="70"/>
      <c r="H138" s="70"/>
      <c r="I138" s="79"/>
      <c r="J138" s="80"/>
      <c r="K138" s="80"/>
      <c r="L138" s="70"/>
      <c r="M138" s="79"/>
      <c r="N138" s="70"/>
      <c r="O138" s="71"/>
    </row>
    <row r="139" spans="2:15" ht="15.75" customHeight="1">
      <c r="B139" s="57"/>
      <c r="C139" s="68"/>
      <c r="D139" s="68"/>
      <c r="E139" s="68"/>
      <c r="F139" s="69"/>
      <c r="G139" s="70"/>
      <c r="H139" s="70"/>
      <c r="I139" s="79"/>
      <c r="J139" s="80"/>
      <c r="K139" s="80"/>
      <c r="L139" s="70"/>
      <c r="M139" s="79"/>
      <c r="N139" s="70"/>
      <c r="O139" s="71"/>
    </row>
    <row r="140" spans="2:15" ht="15.75" customHeight="1">
      <c r="B140" s="57"/>
      <c r="C140" s="68"/>
      <c r="D140" s="68"/>
      <c r="E140" s="68"/>
      <c r="F140" s="69"/>
      <c r="G140" s="70"/>
      <c r="H140" s="70"/>
      <c r="I140" s="79"/>
      <c r="J140" s="80"/>
      <c r="K140" s="80"/>
      <c r="L140" s="70"/>
      <c r="M140" s="79"/>
      <c r="N140" s="70"/>
      <c r="O140" s="71"/>
    </row>
    <row r="141" spans="2:15" ht="15.75" customHeight="1">
      <c r="B141" s="57"/>
      <c r="C141" s="68"/>
      <c r="D141" s="68"/>
      <c r="E141" s="68"/>
      <c r="F141" s="69"/>
      <c r="G141" s="70"/>
      <c r="H141" s="70"/>
      <c r="I141" s="79"/>
      <c r="J141" s="80"/>
      <c r="K141" s="80"/>
      <c r="L141" s="70"/>
      <c r="M141" s="79"/>
      <c r="N141" s="70"/>
      <c r="O141" s="71"/>
    </row>
    <row r="142" spans="2:15" ht="15.75" customHeight="1">
      <c r="B142" s="57"/>
      <c r="C142" s="68"/>
      <c r="D142" s="68"/>
      <c r="E142" s="68"/>
      <c r="F142" s="69"/>
      <c r="G142" s="70"/>
      <c r="H142" s="70"/>
      <c r="I142" s="79"/>
      <c r="J142" s="80"/>
      <c r="K142" s="80"/>
      <c r="L142" s="70"/>
      <c r="M142" s="79"/>
      <c r="N142" s="70"/>
      <c r="O142" s="71"/>
    </row>
    <row r="143" spans="2:15" ht="15.75" customHeight="1">
      <c r="B143" s="57"/>
      <c r="C143" s="68"/>
      <c r="D143" s="68"/>
      <c r="E143" s="68"/>
      <c r="F143" s="69"/>
      <c r="G143" s="70"/>
      <c r="H143" s="70"/>
      <c r="I143" s="79"/>
      <c r="J143" s="80"/>
      <c r="K143" s="80"/>
      <c r="L143" s="70"/>
      <c r="M143" s="79"/>
      <c r="N143" s="70"/>
      <c r="O143" s="71"/>
    </row>
    <row r="144" spans="2:15" ht="15.75" customHeight="1">
      <c r="B144" s="57"/>
      <c r="C144" s="68"/>
      <c r="D144" s="68"/>
      <c r="E144" s="68"/>
      <c r="F144" s="69"/>
      <c r="G144" s="70"/>
      <c r="H144" s="70"/>
      <c r="I144" s="79"/>
      <c r="J144" s="80"/>
      <c r="K144" s="80"/>
      <c r="L144" s="70"/>
      <c r="M144" s="79"/>
      <c r="N144" s="70"/>
      <c r="O144" s="71"/>
    </row>
    <row r="145" spans="2:15" ht="15.75" customHeight="1">
      <c r="B145" s="57"/>
      <c r="C145" s="68"/>
      <c r="D145" s="68"/>
      <c r="E145" s="68"/>
      <c r="F145" s="69"/>
      <c r="G145" s="70"/>
      <c r="H145" s="70"/>
      <c r="I145" s="79"/>
      <c r="J145" s="80"/>
      <c r="K145" s="80"/>
      <c r="L145" s="70"/>
      <c r="M145" s="79"/>
      <c r="N145" s="70"/>
      <c r="O145" s="71"/>
    </row>
    <row r="146" spans="2:15" ht="15.75" customHeight="1">
      <c r="B146" s="57"/>
      <c r="C146" s="68"/>
      <c r="D146" s="68"/>
      <c r="E146" s="68"/>
      <c r="F146" s="69"/>
      <c r="G146" s="70"/>
      <c r="H146" s="70"/>
      <c r="I146" s="79"/>
      <c r="J146" s="80"/>
      <c r="K146" s="80"/>
      <c r="L146" s="70"/>
      <c r="M146" s="79"/>
      <c r="N146" s="70"/>
      <c r="O146" s="71"/>
    </row>
    <row r="147" spans="2:15" ht="15.75" customHeight="1">
      <c r="B147" s="57"/>
      <c r="C147" s="68"/>
      <c r="D147" s="68"/>
      <c r="E147" s="68"/>
      <c r="F147" s="69"/>
      <c r="G147" s="70"/>
      <c r="H147" s="70"/>
      <c r="I147" s="79"/>
      <c r="J147" s="80"/>
      <c r="K147" s="80"/>
      <c r="L147" s="70"/>
      <c r="M147" s="79"/>
      <c r="N147" s="70"/>
      <c r="O147" s="71"/>
    </row>
    <row r="148" spans="2:15" ht="15.75" customHeight="1">
      <c r="B148" s="57"/>
      <c r="C148" s="68"/>
      <c r="D148" s="68"/>
      <c r="E148" s="68"/>
      <c r="F148" s="69"/>
      <c r="G148" s="70"/>
      <c r="H148" s="70"/>
      <c r="I148" s="79"/>
      <c r="J148" s="80"/>
      <c r="K148" s="80"/>
      <c r="L148" s="70"/>
      <c r="M148" s="79"/>
      <c r="N148" s="70"/>
      <c r="O148" s="71"/>
    </row>
    <row r="149" spans="2:15" ht="15.75" customHeight="1">
      <c r="B149" s="57"/>
      <c r="C149" s="68"/>
      <c r="D149" s="68"/>
      <c r="E149" s="68"/>
      <c r="F149" s="69"/>
      <c r="G149" s="70"/>
      <c r="H149" s="70"/>
      <c r="I149" s="79"/>
      <c r="J149" s="80"/>
      <c r="K149" s="80"/>
      <c r="L149" s="70"/>
      <c r="M149" s="79"/>
      <c r="N149" s="70"/>
      <c r="O149" s="71"/>
    </row>
    <row r="150" spans="2:15" ht="15.75" customHeight="1">
      <c r="B150" s="57"/>
      <c r="C150" s="68"/>
      <c r="D150" s="68"/>
      <c r="E150" s="68"/>
      <c r="F150" s="69"/>
      <c r="G150" s="70"/>
      <c r="H150" s="70"/>
      <c r="I150" s="79"/>
      <c r="J150" s="80"/>
      <c r="K150" s="80"/>
      <c r="L150" s="70"/>
      <c r="M150" s="79"/>
      <c r="N150" s="70"/>
      <c r="O150" s="71"/>
    </row>
    <row r="151" spans="2:15" ht="15.75" customHeight="1">
      <c r="B151" s="57"/>
      <c r="C151" s="68"/>
      <c r="D151" s="68"/>
      <c r="E151" s="68"/>
      <c r="F151" s="69"/>
      <c r="G151" s="70"/>
      <c r="H151" s="70"/>
      <c r="I151" s="79"/>
      <c r="J151" s="80"/>
      <c r="K151" s="80"/>
      <c r="L151" s="70"/>
      <c r="M151" s="79"/>
      <c r="N151" s="70"/>
      <c r="O151" s="71"/>
    </row>
    <row r="152" spans="2:15" ht="15.75" customHeight="1">
      <c r="B152" s="57"/>
      <c r="C152" s="68"/>
      <c r="D152" s="68"/>
      <c r="E152" s="68"/>
      <c r="F152" s="69"/>
      <c r="G152" s="70"/>
      <c r="H152" s="70"/>
      <c r="I152" s="79"/>
      <c r="J152" s="80"/>
      <c r="K152" s="80"/>
      <c r="L152" s="70"/>
      <c r="M152" s="79"/>
      <c r="N152" s="70"/>
      <c r="O152" s="71"/>
    </row>
    <row r="153" spans="2:15" ht="15.75" customHeight="1">
      <c r="B153" s="57"/>
      <c r="C153" s="68"/>
      <c r="D153" s="68"/>
      <c r="E153" s="68"/>
      <c r="F153" s="69"/>
      <c r="G153" s="70"/>
      <c r="H153" s="70"/>
      <c r="I153" s="79"/>
      <c r="J153" s="80"/>
      <c r="K153" s="80"/>
      <c r="L153" s="70"/>
      <c r="M153" s="79"/>
      <c r="N153" s="70"/>
      <c r="O153" s="71"/>
    </row>
    <row r="154" spans="2:15" ht="15.75" customHeight="1">
      <c r="B154" s="57"/>
      <c r="C154" s="68"/>
      <c r="D154" s="68"/>
      <c r="E154" s="68"/>
      <c r="F154" s="69"/>
      <c r="G154" s="70"/>
      <c r="H154" s="70"/>
      <c r="I154" s="79"/>
      <c r="J154" s="80"/>
      <c r="K154" s="80"/>
      <c r="L154" s="70"/>
      <c r="M154" s="79"/>
      <c r="N154" s="70"/>
      <c r="O154" s="71"/>
    </row>
    <row r="155" spans="2:15" ht="15.75" customHeight="1">
      <c r="B155" s="57"/>
      <c r="C155" s="68"/>
      <c r="D155" s="68"/>
      <c r="E155" s="68"/>
      <c r="F155" s="69"/>
      <c r="G155" s="70"/>
      <c r="H155" s="70"/>
      <c r="I155" s="79"/>
      <c r="J155" s="80"/>
      <c r="K155" s="80"/>
      <c r="L155" s="70"/>
      <c r="M155" s="79"/>
      <c r="N155" s="70"/>
      <c r="O155" s="71"/>
    </row>
    <row r="156" spans="2:15" ht="15.75" customHeight="1">
      <c r="B156" s="57"/>
      <c r="C156" s="68"/>
      <c r="D156" s="68"/>
      <c r="E156" s="68"/>
      <c r="F156" s="69"/>
      <c r="G156" s="70"/>
      <c r="H156" s="70"/>
      <c r="I156" s="79"/>
      <c r="J156" s="80"/>
      <c r="K156" s="80"/>
      <c r="L156" s="70"/>
      <c r="M156" s="79"/>
      <c r="N156" s="70"/>
      <c r="O156" s="71"/>
    </row>
    <row r="157" spans="2:15" ht="15.75" customHeight="1">
      <c r="B157" s="57"/>
      <c r="C157" s="68"/>
      <c r="D157" s="68"/>
      <c r="E157" s="68"/>
      <c r="F157" s="69"/>
      <c r="G157" s="70"/>
      <c r="H157" s="70"/>
      <c r="I157" s="79"/>
      <c r="J157" s="80"/>
      <c r="K157" s="80"/>
      <c r="L157" s="70"/>
      <c r="M157" s="79"/>
      <c r="N157" s="70"/>
      <c r="O157" s="71"/>
    </row>
    <row r="158" spans="2:15" ht="15.75" customHeight="1">
      <c r="B158" s="57"/>
      <c r="C158" s="68"/>
      <c r="D158" s="68"/>
      <c r="E158" s="68"/>
      <c r="F158" s="69"/>
      <c r="G158" s="70"/>
      <c r="H158" s="70"/>
      <c r="I158" s="79"/>
      <c r="J158" s="80"/>
      <c r="K158" s="80"/>
      <c r="L158" s="70"/>
      <c r="M158" s="79"/>
      <c r="N158" s="70"/>
      <c r="O158" s="71"/>
    </row>
    <row r="159" spans="2:15" ht="15.75" customHeight="1">
      <c r="B159" s="57"/>
      <c r="C159" s="68"/>
      <c r="D159" s="68"/>
      <c r="E159" s="68"/>
      <c r="F159" s="69"/>
      <c r="G159" s="70"/>
      <c r="H159" s="70"/>
      <c r="I159" s="79"/>
      <c r="J159" s="80"/>
      <c r="K159" s="80"/>
      <c r="L159" s="70"/>
      <c r="M159" s="79"/>
      <c r="N159" s="70"/>
      <c r="O159" s="71"/>
    </row>
    <row r="160" spans="2:15" ht="15.75" customHeight="1">
      <c r="B160" s="57"/>
      <c r="C160" s="68"/>
      <c r="D160" s="68"/>
      <c r="E160" s="68"/>
      <c r="F160" s="69"/>
      <c r="G160" s="70"/>
      <c r="H160" s="70"/>
      <c r="I160" s="79"/>
      <c r="J160" s="80"/>
      <c r="K160" s="80"/>
      <c r="L160" s="70"/>
      <c r="M160" s="79"/>
      <c r="N160" s="70"/>
      <c r="O160" s="71"/>
    </row>
    <row r="161" spans="2:15" ht="15.75" customHeight="1">
      <c r="B161" s="57"/>
      <c r="C161" s="68"/>
      <c r="D161" s="68"/>
      <c r="E161" s="68"/>
      <c r="F161" s="69"/>
      <c r="G161" s="70"/>
      <c r="H161" s="70"/>
      <c r="I161" s="79"/>
      <c r="J161" s="80"/>
      <c r="K161" s="80"/>
      <c r="L161" s="70"/>
      <c r="M161" s="79"/>
      <c r="N161" s="70"/>
      <c r="O161" s="71"/>
    </row>
    <row r="162" spans="2:15" ht="15.75" customHeight="1">
      <c r="B162" s="57"/>
      <c r="C162" s="68"/>
      <c r="D162" s="68"/>
      <c r="E162" s="68"/>
      <c r="F162" s="69"/>
      <c r="G162" s="70"/>
      <c r="H162" s="70"/>
      <c r="I162" s="79"/>
      <c r="J162" s="80"/>
      <c r="K162" s="80"/>
      <c r="L162" s="70"/>
      <c r="M162" s="79"/>
      <c r="N162" s="70"/>
      <c r="O162" s="71"/>
    </row>
    <row r="163" spans="2:15" ht="15.75" customHeight="1">
      <c r="B163" s="57"/>
      <c r="C163" s="68"/>
      <c r="D163" s="68"/>
      <c r="E163" s="68"/>
      <c r="F163" s="69"/>
      <c r="G163" s="70"/>
      <c r="H163" s="70"/>
      <c r="I163" s="79"/>
      <c r="J163" s="80"/>
      <c r="K163" s="80"/>
      <c r="L163" s="70"/>
      <c r="M163" s="79"/>
      <c r="N163" s="70"/>
      <c r="O163" s="71"/>
    </row>
    <row r="164" spans="2:15" ht="15.75" customHeight="1">
      <c r="B164" s="57"/>
      <c r="C164" s="68"/>
      <c r="D164" s="68"/>
      <c r="E164" s="68"/>
      <c r="F164" s="69"/>
      <c r="G164" s="70"/>
      <c r="H164" s="70"/>
      <c r="I164" s="79"/>
      <c r="J164" s="80"/>
      <c r="K164" s="80"/>
      <c r="L164" s="70"/>
      <c r="M164" s="79"/>
      <c r="N164" s="70"/>
      <c r="O164" s="71"/>
    </row>
    <row r="165" spans="2:15" ht="15.75" customHeight="1">
      <c r="C165" s="68"/>
      <c r="D165" s="68"/>
      <c r="E165" s="68"/>
      <c r="F165" s="69"/>
      <c r="G165" s="70"/>
      <c r="H165" s="70"/>
      <c r="I165" s="79"/>
      <c r="J165" s="80"/>
      <c r="K165" s="80"/>
      <c r="L165" s="70"/>
      <c r="M165" s="79"/>
      <c r="N165" s="70"/>
      <c r="O165" s="71"/>
    </row>
    <row r="166" spans="2:15" ht="15.75" customHeight="1">
      <c r="O166" s="71"/>
    </row>
    <row r="167" spans="2:15" ht="15.75" customHeight="1">
      <c r="O167" s="71"/>
    </row>
    <row r="168" spans="2:15" ht="15.75" customHeight="1">
      <c r="O168" s="77"/>
    </row>
    <row r="169" spans="2:15" ht="15.75" customHeight="1">
      <c r="O169" s="77"/>
    </row>
    <row r="170" spans="2:15" ht="15.75" customHeight="1">
      <c r="O170" s="77"/>
    </row>
    <row r="171" spans="2:15" ht="15.75" customHeight="1">
      <c r="O171" s="77"/>
    </row>
    <row r="172" spans="2:15" ht="15.75" customHeight="1">
      <c r="O172" s="77"/>
    </row>
    <row r="173" spans="2:15" ht="15.75" customHeight="1">
      <c r="O173" s="77"/>
    </row>
    <row r="174" spans="2:15" ht="15.75" customHeight="1">
      <c r="O174" s="77"/>
    </row>
    <row r="175" spans="2:15" ht="15.75" customHeight="1">
      <c r="O175" s="77"/>
    </row>
    <row r="176" spans="2:15" ht="15.75" customHeight="1">
      <c r="O176" s="77"/>
    </row>
    <row r="177" spans="15:15" ht="15.75" customHeight="1">
      <c r="O177" s="77"/>
    </row>
    <row r="178" spans="15:15" ht="15.75" customHeight="1">
      <c r="O178" s="77"/>
    </row>
    <row r="179" spans="15:15" ht="15.75" customHeight="1">
      <c r="O179" s="77"/>
    </row>
    <row r="180" spans="15:15" ht="15.75" customHeight="1">
      <c r="O180" s="77"/>
    </row>
    <row r="181" spans="15:15" ht="15.75" customHeight="1">
      <c r="O181" s="77"/>
    </row>
    <row r="182" spans="15:15" ht="15.75" customHeight="1">
      <c r="O182" s="77"/>
    </row>
    <row r="183" spans="15:15" ht="15.75" customHeight="1">
      <c r="O183" s="77"/>
    </row>
    <row r="184" spans="15:15" ht="15.75" customHeight="1">
      <c r="O184" s="77"/>
    </row>
    <row r="185" spans="15:15" ht="15.75" customHeight="1">
      <c r="O185" s="77"/>
    </row>
    <row r="186" spans="15:15" ht="15.75" customHeight="1">
      <c r="O186" s="77"/>
    </row>
    <row r="187" spans="15:15" ht="15.75" customHeight="1">
      <c r="O187" s="77"/>
    </row>
    <row r="188" spans="15:15" ht="15.75" customHeight="1">
      <c r="O188" s="77"/>
    </row>
    <row r="189" spans="15:15" ht="15.75" customHeight="1">
      <c r="O189" s="77"/>
    </row>
    <row r="190" spans="15:15" ht="15.75" customHeight="1">
      <c r="O190" s="77"/>
    </row>
    <row r="191" spans="15:15" ht="15.75" customHeight="1">
      <c r="O191" s="77"/>
    </row>
    <row r="192" spans="15:15" ht="15.75" customHeight="1">
      <c r="O192" s="77"/>
    </row>
    <row r="193" spans="15:16" ht="15.75" customHeight="1">
      <c r="O193" s="77"/>
    </row>
    <row r="194" spans="15:16" ht="15.75" customHeight="1">
      <c r="O194" s="77"/>
    </row>
    <row r="195" spans="15:16" ht="15.75" customHeight="1">
      <c r="O195" s="77"/>
    </row>
    <row r="196" spans="15:16" ht="15.75" customHeight="1">
      <c r="O196" s="77"/>
    </row>
    <row r="197" spans="15:16" ht="15.75" customHeight="1">
      <c r="O197" s="77"/>
    </row>
    <row r="198" spans="15:16" ht="15.75" customHeight="1">
      <c r="O198" s="77"/>
    </row>
    <row r="199" spans="15:16" ht="15.75" customHeight="1">
      <c r="O199" s="77"/>
      <c r="P199" s="50"/>
    </row>
    <row r="200" spans="15:16" ht="15.75" customHeight="1" thickBot="1">
      <c r="O200" s="78"/>
      <c r="P200" s="50"/>
    </row>
    <row r="201" spans="15:16" ht="15.75" customHeight="1"/>
    <row r="202" spans="15:16" ht="15.75" customHeight="1"/>
    <row r="203" spans="15:16" ht="15.75" customHeight="1"/>
    <row r="204" spans="15:16" ht="15.75" customHeight="1"/>
    <row r="205" spans="15:16" ht="15.75" customHeight="1"/>
    <row r="206" spans="15:16" ht="15.75" customHeight="1"/>
    <row r="207" spans="15:16" ht="15.75" customHeight="1"/>
    <row r="208" spans="15:1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</sheetData>
  <sortState xmlns:xlrd2="http://schemas.microsoft.com/office/spreadsheetml/2017/richdata2" ref="C9:N99">
    <sortCondition descending="1" ref="K10:K99"/>
  </sortState>
  <mergeCells count="1">
    <mergeCell ref="B2:O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16D2-519C-46DA-9A3D-6331B0F9E22E}">
  <sheetPr codeName="Sheet4">
    <tabColor theme="9" tint="0.39997558519241921"/>
  </sheetPr>
  <dimension ref="B2:O21"/>
  <sheetViews>
    <sheetView showGridLines="0" zoomScaleNormal="100" workbookViewId="0"/>
  </sheetViews>
  <sheetFormatPr defaultColWidth="9" defaultRowHeight="12"/>
  <cols>
    <col min="1" max="1" width="2.25" style="51" customWidth="1"/>
    <col min="2" max="2" width="2" style="50" customWidth="1"/>
    <col min="3" max="3" width="27.75" style="50" bestFit="1" customWidth="1"/>
    <col min="4" max="4" width="16.625" style="50" customWidth="1"/>
    <col min="5" max="5" width="25.5" style="50" bestFit="1" customWidth="1"/>
    <col min="6" max="6" width="10.5" style="50" bestFit="1" customWidth="1"/>
    <col min="7" max="11" width="11" style="50" customWidth="1"/>
    <col min="12" max="12" width="11" style="52" customWidth="1"/>
    <col min="13" max="13" width="11" style="50" customWidth="1"/>
    <col min="14" max="14" width="11" style="52" customWidth="1"/>
    <col min="15" max="15" width="2.25" style="50" customWidth="1"/>
    <col min="16" max="16384" width="9" style="51"/>
  </cols>
  <sheetData>
    <row r="2" spans="2:15" ht="13.5" customHeight="1">
      <c r="B2" s="232" t="s">
        <v>76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</row>
    <row r="3" spans="2:15" ht="21.75" customHeight="1"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</row>
    <row r="4" spans="2:15" ht="13.5" customHeight="1" thickBot="1"/>
    <row r="5" spans="2:15">
      <c r="B5" s="53"/>
      <c r="C5" s="54"/>
      <c r="D5" s="54"/>
      <c r="E5" s="54"/>
      <c r="F5" s="54"/>
      <c r="G5" s="54"/>
      <c r="H5" s="54"/>
      <c r="I5" s="54"/>
      <c r="J5" s="54"/>
      <c r="K5" s="54"/>
      <c r="L5" s="55"/>
      <c r="M5" s="54"/>
      <c r="N5" s="55"/>
      <c r="O5" s="56"/>
    </row>
    <row r="6" spans="2:15">
      <c r="B6" s="57"/>
      <c r="C6" s="58" t="s">
        <v>754</v>
      </c>
      <c r="D6" s="59"/>
      <c r="E6" s="59"/>
      <c r="F6" s="59"/>
      <c r="L6" s="60"/>
      <c r="N6" s="60"/>
      <c r="O6" s="61"/>
    </row>
    <row r="7" spans="2:15">
      <c r="B7" s="57"/>
      <c r="L7" s="60"/>
      <c r="N7" s="60"/>
      <c r="O7" s="61"/>
    </row>
    <row r="8" spans="2:15" ht="15.75" customHeight="1">
      <c r="B8" s="57"/>
      <c r="C8" s="63" t="s">
        <v>37</v>
      </c>
      <c r="D8" s="63" t="s">
        <v>34</v>
      </c>
      <c r="E8" s="63" t="s">
        <v>35</v>
      </c>
      <c r="F8" s="63" t="s">
        <v>38</v>
      </c>
      <c r="G8" s="63" t="s">
        <v>2</v>
      </c>
      <c r="H8" s="63" t="s">
        <v>4</v>
      </c>
      <c r="I8" s="63" t="s">
        <v>51</v>
      </c>
      <c r="J8" s="63" t="s">
        <v>52</v>
      </c>
      <c r="K8" s="64" t="s">
        <v>54</v>
      </c>
      <c r="L8" s="64" t="s">
        <v>45</v>
      </c>
      <c r="M8" s="63" t="s">
        <v>53</v>
      </c>
      <c r="N8" s="64" t="s">
        <v>69</v>
      </c>
      <c r="O8" s="61"/>
    </row>
    <row r="9" spans="2:15" ht="15.75" customHeight="1">
      <c r="B9" s="57"/>
      <c r="C9" s="65" t="s">
        <v>19</v>
      </c>
      <c r="D9" s="65" t="s">
        <v>19</v>
      </c>
      <c r="E9" s="65" t="s">
        <v>36</v>
      </c>
      <c r="F9" s="66">
        <f>SUM(F10:F1048576)/COUNTA(F10:F1048576)</f>
        <v>2.4416666666666669</v>
      </c>
      <c r="G9" s="65">
        <f>SUM(G10:G1048576)</f>
        <v>185</v>
      </c>
      <c r="H9" s="65">
        <f>SUM(H10:H1048576)</f>
        <v>13</v>
      </c>
      <c r="I9" s="67">
        <f>H9/G9</f>
        <v>7.0270270270270274E-2</v>
      </c>
      <c r="J9" s="65">
        <f>K9/H9</f>
        <v>3289.8461538461538</v>
      </c>
      <c r="K9" s="65">
        <f>SUM(K10:K1048576)</f>
        <v>42768</v>
      </c>
      <c r="L9" s="65">
        <f>SUM(L10:L1048576)</f>
        <v>2</v>
      </c>
      <c r="M9" s="67">
        <f>L9/H9</f>
        <v>0.15384615384615385</v>
      </c>
      <c r="N9" s="65">
        <f>IFERROR(K9/L9,0)</f>
        <v>21384</v>
      </c>
      <c r="O9" s="61"/>
    </row>
    <row r="10" spans="2:15" ht="15.75" customHeight="1">
      <c r="B10" s="57"/>
      <c r="C10" s="68" t="s">
        <v>565</v>
      </c>
      <c r="D10" s="68" t="s">
        <v>541</v>
      </c>
      <c r="E10" s="68" t="s">
        <v>653</v>
      </c>
      <c r="F10" s="69">
        <v>1.4</v>
      </c>
      <c r="G10" s="70">
        <v>16</v>
      </c>
      <c r="H10" s="70">
        <v>2</v>
      </c>
      <c r="I10" s="79">
        <f t="shared" ref="I10" si="0">IFERROR(H10/G10,0)</f>
        <v>0.125</v>
      </c>
      <c r="J10" s="80">
        <f>IFERROR(K10/H10,0)</f>
        <v>5126</v>
      </c>
      <c r="K10" s="80">
        <v>10252</v>
      </c>
      <c r="L10" s="70">
        <v>0</v>
      </c>
      <c r="M10" s="79">
        <f t="shared" ref="M10" si="1">IFERROR(L10/H10,0)</f>
        <v>0</v>
      </c>
      <c r="N10" s="70">
        <f>IFERROR(K10/L10,0)</f>
        <v>0</v>
      </c>
      <c r="O10" s="71"/>
    </row>
    <row r="11" spans="2:15" ht="15.75" customHeight="1">
      <c r="B11" s="57"/>
      <c r="C11" s="68" t="s">
        <v>564</v>
      </c>
      <c r="D11" s="68" t="s">
        <v>544</v>
      </c>
      <c r="E11" s="68" t="s">
        <v>70</v>
      </c>
      <c r="F11" s="69">
        <v>4.2</v>
      </c>
      <c r="G11" s="70">
        <v>9</v>
      </c>
      <c r="H11" s="70">
        <v>1</v>
      </c>
      <c r="I11" s="79">
        <f t="shared" ref="I11:I13" si="2">IFERROR(H11/G11,0)</f>
        <v>0.1111111111111111</v>
      </c>
      <c r="J11" s="80">
        <f t="shared" ref="J11:J13" si="3">IFERROR(K11/H11,0)</f>
        <v>7667</v>
      </c>
      <c r="K11" s="80">
        <v>7667</v>
      </c>
      <c r="L11" s="70">
        <v>1</v>
      </c>
      <c r="M11" s="79">
        <f t="shared" ref="M11:M13" si="4">IFERROR(L11/H11,0)</f>
        <v>1</v>
      </c>
      <c r="N11" s="70">
        <f t="shared" ref="N11:N13" si="5">IFERROR(K11/L11,0)</f>
        <v>7667</v>
      </c>
      <c r="O11" s="71"/>
    </row>
    <row r="12" spans="2:15" ht="15.75" customHeight="1">
      <c r="B12" s="57"/>
      <c r="C12" s="68" t="s">
        <v>565</v>
      </c>
      <c r="D12" s="68" t="s">
        <v>548</v>
      </c>
      <c r="E12" s="68" t="s">
        <v>647</v>
      </c>
      <c r="F12" s="69">
        <v>2.5</v>
      </c>
      <c r="G12" s="70">
        <v>6</v>
      </c>
      <c r="H12" s="70">
        <v>1</v>
      </c>
      <c r="I12" s="79">
        <f t="shared" si="2"/>
        <v>0.16666666666666666</v>
      </c>
      <c r="J12" s="80">
        <f t="shared" si="3"/>
        <v>7612</v>
      </c>
      <c r="K12" s="80">
        <v>7612</v>
      </c>
      <c r="L12" s="70">
        <v>0</v>
      </c>
      <c r="M12" s="79">
        <f t="shared" si="4"/>
        <v>0</v>
      </c>
      <c r="N12" s="70">
        <f t="shared" si="5"/>
        <v>0</v>
      </c>
      <c r="O12" s="71"/>
    </row>
    <row r="13" spans="2:15" ht="15.75" customHeight="1">
      <c r="B13" s="57"/>
      <c r="C13" s="68" t="s">
        <v>565</v>
      </c>
      <c r="D13" s="68" t="s">
        <v>541</v>
      </c>
      <c r="E13" s="68" t="s">
        <v>743</v>
      </c>
      <c r="F13" s="69">
        <v>1</v>
      </c>
      <c r="G13" s="70">
        <v>3</v>
      </c>
      <c r="H13" s="70">
        <v>1</v>
      </c>
      <c r="I13" s="79">
        <f t="shared" si="2"/>
        <v>0.33333333333333331</v>
      </c>
      <c r="J13" s="80">
        <f t="shared" si="3"/>
        <v>4697</v>
      </c>
      <c r="K13" s="80">
        <v>4697</v>
      </c>
      <c r="L13" s="70">
        <v>0</v>
      </c>
      <c r="M13" s="79">
        <f t="shared" si="4"/>
        <v>0</v>
      </c>
      <c r="N13" s="70">
        <f t="shared" si="5"/>
        <v>0</v>
      </c>
      <c r="O13" s="71"/>
    </row>
    <row r="14" spans="2:15" ht="15.75" customHeight="1">
      <c r="B14" s="57"/>
      <c r="C14" s="68" t="s">
        <v>565</v>
      </c>
      <c r="D14" s="68" t="s">
        <v>541</v>
      </c>
      <c r="E14" s="68" t="s">
        <v>647</v>
      </c>
      <c r="F14" s="69">
        <v>2.2999999999999998</v>
      </c>
      <c r="G14" s="70">
        <v>67</v>
      </c>
      <c r="H14" s="70">
        <v>1</v>
      </c>
      <c r="I14" s="79">
        <f t="shared" ref="I14:I16" si="6">IFERROR(H14/G14,0)</f>
        <v>1.4925373134328358E-2</v>
      </c>
      <c r="J14" s="80">
        <f t="shared" ref="J14:J16" si="7">IFERROR(K14/H14,0)</f>
        <v>3982</v>
      </c>
      <c r="K14" s="80">
        <v>3982</v>
      </c>
      <c r="L14" s="70">
        <v>0</v>
      </c>
      <c r="M14" s="79">
        <f t="shared" ref="M14:M16" si="8">IFERROR(L14/H14,0)</f>
        <v>0</v>
      </c>
      <c r="N14" s="70">
        <f t="shared" ref="N14:N16" si="9">IFERROR(K14/L14,0)</f>
        <v>0</v>
      </c>
      <c r="O14" s="71"/>
    </row>
    <row r="15" spans="2:15" ht="15.75" customHeight="1">
      <c r="B15" s="57"/>
      <c r="C15" s="68" t="s">
        <v>565</v>
      </c>
      <c r="D15" s="68" t="s">
        <v>546</v>
      </c>
      <c r="E15" s="68" t="s">
        <v>773</v>
      </c>
      <c r="F15" s="69">
        <v>1</v>
      </c>
      <c r="G15" s="70">
        <v>1</v>
      </c>
      <c r="H15" s="70">
        <v>1</v>
      </c>
      <c r="I15" s="79">
        <f t="shared" si="6"/>
        <v>1</v>
      </c>
      <c r="J15" s="80">
        <f t="shared" si="7"/>
        <v>2607</v>
      </c>
      <c r="K15" s="80">
        <v>2607</v>
      </c>
      <c r="L15" s="70">
        <v>1</v>
      </c>
      <c r="M15" s="79">
        <f t="shared" si="8"/>
        <v>1</v>
      </c>
      <c r="N15" s="70">
        <f t="shared" si="9"/>
        <v>2607</v>
      </c>
      <c r="O15" s="71"/>
    </row>
    <row r="16" spans="2:15" ht="15.75" customHeight="1">
      <c r="B16" s="57"/>
      <c r="C16" s="68" t="s">
        <v>565</v>
      </c>
      <c r="D16" s="68" t="s">
        <v>541</v>
      </c>
      <c r="E16" s="68" t="s">
        <v>655</v>
      </c>
      <c r="F16" s="69">
        <v>2.8</v>
      </c>
      <c r="G16" s="70">
        <v>37</v>
      </c>
      <c r="H16" s="70">
        <v>1</v>
      </c>
      <c r="I16" s="79">
        <f t="shared" si="6"/>
        <v>2.7027027027027029E-2</v>
      </c>
      <c r="J16" s="80">
        <f t="shared" si="7"/>
        <v>2002</v>
      </c>
      <c r="K16" s="80">
        <v>2002</v>
      </c>
      <c r="L16" s="70">
        <v>0</v>
      </c>
      <c r="M16" s="79">
        <f t="shared" si="8"/>
        <v>0</v>
      </c>
      <c r="N16" s="70">
        <f t="shared" si="9"/>
        <v>0</v>
      </c>
      <c r="O16" s="71"/>
    </row>
    <row r="17" spans="2:15" ht="15.75" customHeight="1">
      <c r="B17" s="57"/>
      <c r="C17" s="68" t="s">
        <v>565</v>
      </c>
      <c r="D17" s="68" t="s">
        <v>541</v>
      </c>
      <c r="E17" s="68" t="s">
        <v>487</v>
      </c>
      <c r="F17" s="69">
        <v>3.1</v>
      </c>
      <c r="G17" s="70">
        <v>37</v>
      </c>
      <c r="H17" s="70">
        <v>1</v>
      </c>
      <c r="I17" s="79">
        <f t="shared" ref="I17" si="10">IFERROR(H17/G17,0)</f>
        <v>2.7027027027027029E-2</v>
      </c>
      <c r="J17" s="80">
        <f t="shared" ref="J17" si="11">IFERROR(K17/H17,0)</f>
        <v>1804</v>
      </c>
      <c r="K17" s="80">
        <v>1804</v>
      </c>
      <c r="L17" s="70">
        <v>0</v>
      </c>
      <c r="M17" s="79">
        <f t="shared" ref="M17" si="12">IFERROR(L17/H17,0)</f>
        <v>0</v>
      </c>
      <c r="N17" s="70">
        <f t="shared" ref="N17" si="13">IFERROR(K17/L17,0)</f>
        <v>0</v>
      </c>
      <c r="O17" s="71"/>
    </row>
    <row r="18" spans="2:15" ht="15.75" customHeight="1">
      <c r="B18" s="57"/>
      <c r="C18" s="68" t="s">
        <v>565</v>
      </c>
      <c r="D18" s="68" t="s">
        <v>555</v>
      </c>
      <c r="E18" s="68" t="s">
        <v>774</v>
      </c>
      <c r="F18" s="69">
        <v>4</v>
      </c>
      <c r="G18" s="70">
        <v>2</v>
      </c>
      <c r="H18" s="70">
        <v>1</v>
      </c>
      <c r="I18" s="79">
        <f t="shared" ref="I18:I21" si="14">IFERROR(H18/G18,0)</f>
        <v>0.5</v>
      </c>
      <c r="J18" s="80">
        <f t="shared" ref="J18:J21" si="15">IFERROR(K18/H18,0)</f>
        <v>990</v>
      </c>
      <c r="K18" s="80">
        <v>990</v>
      </c>
      <c r="L18" s="70">
        <v>0</v>
      </c>
      <c r="M18" s="79">
        <f t="shared" ref="M18:M21" si="16">IFERROR(L18/H18,0)</f>
        <v>0</v>
      </c>
      <c r="N18" s="70">
        <f t="shared" ref="N18:N21" si="17">IFERROR(K18/L18,0)</f>
        <v>0</v>
      </c>
      <c r="O18" s="71"/>
    </row>
    <row r="19" spans="2:15" ht="15.75" customHeight="1">
      <c r="B19" s="57"/>
      <c r="C19" s="68" t="s">
        <v>565</v>
      </c>
      <c r="D19" s="68" t="s">
        <v>553</v>
      </c>
      <c r="E19" s="68" t="s">
        <v>610</v>
      </c>
      <c r="F19" s="69">
        <v>2</v>
      </c>
      <c r="G19" s="70">
        <v>3</v>
      </c>
      <c r="H19" s="70">
        <v>1</v>
      </c>
      <c r="I19" s="79">
        <f t="shared" si="14"/>
        <v>0.33333333333333331</v>
      </c>
      <c r="J19" s="80">
        <f t="shared" si="15"/>
        <v>517</v>
      </c>
      <c r="K19" s="80">
        <v>517</v>
      </c>
      <c r="L19" s="70">
        <v>0</v>
      </c>
      <c r="M19" s="79">
        <f t="shared" si="16"/>
        <v>0</v>
      </c>
      <c r="N19" s="70">
        <f t="shared" si="17"/>
        <v>0</v>
      </c>
      <c r="O19" s="71"/>
    </row>
    <row r="20" spans="2:15" ht="15.75" customHeight="1">
      <c r="B20" s="57"/>
      <c r="C20" s="68" t="s">
        <v>565</v>
      </c>
      <c r="D20" s="68" t="s">
        <v>552</v>
      </c>
      <c r="E20" s="68" t="s">
        <v>775</v>
      </c>
      <c r="F20" s="69">
        <v>1</v>
      </c>
      <c r="G20" s="70">
        <v>1</v>
      </c>
      <c r="H20" s="70">
        <v>1</v>
      </c>
      <c r="I20" s="79">
        <f t="shared" si="14"/>
        <v>1</v>
      </c>
      <c r="J20" s="80">
        <f t="shared" si="15"/>
        <v>517</v>
      </c>
      <c r="K20" s="80">
        <v>517</v>
      </c>
      <c r="L20" s="70">
        <v>0</v>
      </c>
      <c r="M20" s="79">
        <f t="shared" si="16"/>
        <v>0</v>
      </c>
      <c r="N20" s="70">
        <f t="shared" si="17"/>
        <v>0</v>
      </c>
      <c r="O20" s="71"/>
    </row>
    <row r="21" spans="2:15" ht="15.75" customHeight="1">
      <c r="B21" s="57"/>
      <c r="C21" s="68" t="s">
        <v>565</v>
      </c>
      <c r="D21" s="68" t="s">
        <v>553</v>
      </c>
      <c r="E21" s="68" t="s">
        <v>776</v>
      </c>
      <c r="F21" s="69">
        <v>4</v>
      </c>
      <c r="G21" s="70">
        <v>3</v>
      </c>
      <c r="H21" s="70">
        <v>1</v>
      </c>
      <c r="I21" s="79">
        <f t="shared" si="14"/>
        <v>0.33333333333333331</v>
      </c>
      <c r="J21" s="80">
        <f t="shared" si="15"/>
        <v>121</v>
      </c>
      <c r="K21" s="80">
        <v>121</v>
      </c>
      <c r="L21" s="70">
        <v>0</v>
      </c>
      <c r="M21" s="79">
        <f t="shared" si="16"/>
        <v>0</v>
      </c>
      <c r="N21" s="70">
        <f t="shared" si="17"/>
        <v>0</v>
      </c>
      <c r="O21" s="71"/>
    </row>
  </sheetData>
  <mergeCells count="1">
    <mergeCell ref="B2:O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39997558519241921"/>
  </sheetPr>
  <dimension ref="B1:X505"/>
  <sheetViews>
    <sheetView showGridLines="0" zoomScale="85" zoomScaleNormal="85" workbookViewId="0"/>
  </sheetViews>
  <sheetFormatPr defaultColWidth="9" defaultRowHeight="12"/>
  <cols>
    <col min="1" max="1" width="2.25" style="87" customWidth="1"/>
    <col min="2" max="2" width="2" style="122" customWidth="1"/>
    <col min="3" max="3" width="20.75" style="91" bestFit="1" customWidth="1"/>
    <col min="4" max="4" width="27.75" style="93" bestFit="1" customWidth="1"/>
    <col min="5" max="5" width="22.75" style="93" bestFit="1" customWidth="1"/>
    <col min="6" max="6" width="8.25" style="103" bestFit="1" customWidth="1"/>
    <col min="7" max="7" width="8.25" style="92" customWidth="1"/>
    <col min="8" max="8" width="8.25" style="91" customWidth="1"/>
    <col min="9" max="10" width="10.5" style="91" customWidth="1"/>
    <col min="11" max="11" width="11.25" style="91" bestFit="1" customWidth="1"/>
    <col min="12" max="12" width="12.25" style="91" bestFit="1" customWidth="1"/>
    <col min="13" max="13" width="11.875" style="87" customWidth="1"/>
    <col min="14" max="14" width="21.375" style="87" customWidth="1"/>
    <col min="15" max="15" width="36.125" style="87" customWidth="1"/>
    <col min="16" max="16" width="2.625" style="87" customWidth="1"/>
    <col min="17" max="18" width="9" style="87"/>
    <col min="19" max="19" width="26.25" style="87" bestFit="1" customWidth="1"/>
    <col min="20" max="23" width="9" style="87"/>
    <col min="24" max="24" width="64.25" style="87" customWidth="1"/>
    <col min="25" max="16384" width="9" style="87"/>
  </cols>
  <sheetData>
    <row r="1" spans="2:24">
      <c r="D1" s="91"/>
      <c r="E1" s="91"/>
      <c r="F1" s="92"/>
      <c r="I1" s="92"/>
      <c r="J1" s="92"/>
      <c r="M1" s="91"/>
      <c r="N1" s="91"/>
      <c r="O1" s="91"/>
      <c r="P1" s="91"/>
    </row>
    <row r="2" spans="2:24" ht="13.5" customHeight="1">
      <c r="B2" s="238" t="s">
        <v>41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</row>
    <row r="3" spans="2:24" ht="21.75" customHeight="1"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</row>
    <row r="4" spans="2:24" ht="13.5" customHeight="1">
      <c r="B4" s="125"/>
      <c r="C4" s="88"/>
      <c r="D4" s="88"/>
      <c r="E4" s="88"/>
      <c r="F4" s="89"/>
      <c r="G4" s="89"/>
      <c r="H4" s="88"/>
      <c r="I4" s="90"/>
      <c r="J4" s="90"/>
      <c r="K4" s="88"/>
      <c r="L4" s="88"/>
      <c r="M4" s="88"/>
      <c r="N4" s="91"/>
      <c r="O4" s="91"/>
      <c r="P4" s="91"/>
    </row>
    <row r="5" spans="2:24" ht="13.5" customHeight="1" thickBot="1">
      <c r="D5" s="91"/>
      <c r="E5" s="91"/>
      <c r="F5" s="92"/>
      <c r="I5" s="92"/>
      <c r="J5" s="92"/>
      <c r="M5" s="93"/>
      <c r="N5" s="91"/>
      <c r="O5" s="91"/>
      <c r="P5" s="91"/>
    </row>
    <row r="6" spans="2:24">
      <c r="B6" s="126"/>
      <c r="C6" s="94"/>
      <c r="D6" s="94"/>
      <c r="E6" s="94"/>
      <c r="F6" s="95"/>
      <c r="G6" s="95"/>
      <c r="H6" s="94"/>
      <c r="I6" s="95"/>
      <c r="J6" s="95"/>
      <c r="K6" s="94"/>
      <c r="L6" s="94"/>
      <c r="M6" s="96"/>
      <c r="N6" s="96"/>
      <c r="O6" s="96"/>
      <c r="P6" s="97"/>
    </row>
    <row r="7" spans="2:24" ht="13.5">
      <c r="B7" s="112"/>
      <c r="C7" s="203" t="s">
        <v>753</v>
      </c>
      <c r="D7" s="98"/>
      <c r="E7" s="91"/>
      <c r="F7" s="92"/>
      <c r="I7" s="99"/>
      <c r="J7" s="99"/>
      <c r="M7" s="93"/>
      <c r="N7" s="93"/>
      <c r="O7" s="93"/>
      <c r="P7" s="100"/>
      <c r="S7" s="101"/>
      <c r="X7" s="101"/>
    </row>
    <row r="8" spans="2:24" ht="12.75" customHeight="1">
      <c r="B8" s="112"/>
      <c r="C8" s="102"/>
      <c r="D8" s="102"/>
      <c r="E8" s="102"/>
      <c r="G8" s="103"/>
      <c r="H8" s="93"/>
      <c r="I8" s="104"/>
      <c r="J8" s="104"/>
      <c r="K8" s="93"/>
      <c r="L8" s="93"/>
      <c r="M8" s="93"/>
      <c r="P8" s="106"/>
    </row>
    <row r="9" spans="2:24" ht="27" customHeight="1">
      <c r="B9" s="112"/>
      <c r="C9" s="107" t="s">
        <v>42</v>
      </c>
      <c r="D9" s="107" t="s">
        <v>37</v>
      </c>
      <c r="E9" s="107" t="s">
        <v>34</v>
      </c>
      <c r="F9" s="108" t="s">
        <v>1</v>
      </c>
      <c r="G9" s="108" t="s">
        <v>3</v>
      </c>
      <c r="H9" s="107" t="s">
        <v>51</v>
      </c>
      <c r="I9" s="107" t="s">
        <v>52</v>
      </c>
      <c r="J9" s="108" t="s">
        <v>54</v>
      </c>
      <c r="K9" s="108" t="s">
        <v>24</v>
      </c>
      <c r="L9" s="107" t="s">
        <v>53</v>
      </c>
      <c r="N9" s="105"/>
      <c r="O9" s="105" t="s">
        <v>42</v>
      </c>
      <c r="P9" s="100"/>
    </row>
    <row r="10" spans="2:24" ht="27" customHeight="1">
      <c r="B10" s="112"/>
      <c r="C10" s="109"/>
      <c r="D10" s="110"/>
      <c r="E10" s="109" t="s">
        <v>19</v>
      </c>
      <c r="F10" s="108">
        <f>SUM(F11:F1048576)</f>
        <v>3579</v>
      </c>
      <c r="G10" s="108">
        <f>SUM(G11:G1048576)</f>
        <v>123</v>
      </c>
      <c r="H10" s="111">
        <f>G10/F10</f>
        <v>3.4367141659681473E-2</v>
      </c>
      <c r="I10" s="108">
        <f>J10/G10</f>
        <v>6046.5121951219517</v>
      </c>
      <c r="J10" s="108">
        <f>SUM(J11:J1048576)</f>
        <v>743721</v>
      </c>
      <c r="K10" s="108">
        <f>SUM(K11:K1048576)</f>
        <v>29</v>
      </c>
      <c r="L10" s="111">
        <f>K10/G10</f>
        <v>0.23577235772357724</v>
      </c>
      <c r="N10" s="233" t="s">
        <v>79</v>
      </c>
      <c r="O10" s="237"/>
      <c r="P10" s="100"/>
    </row>
    <row r="11" spans="2:24" ht="27" customHeight="1">
      <c r="B11" s="112" t="s">
        <v>495</v>
      </c>
      <c r="C11" s="113" t="str">
        <f>VLOOKUP(B11,'파링_소재 RAW'!I:J,2,)</f>
        <v>단말기 소재2</v>
      </c>
      <c r="D11" s="113" t="s">
        <v>565</v>
      </c>
      <c r="E11" s="113" t="s">
        <v>541</v>
      </c>
      <c r="F11" s="114">
        <v>488</v>
      </c>
      <c r="G11" s="114">
        <v>19</v>
      </c>
      <c r="H11" s="115">
        <f t="shared" ref="H11:H44" si="0">IFERROR(G11/F11,0)</f>
        <v>3.8934426229508198E-2</v>
      </c>
      <c r="I11" s="116">
        <f t="shared" ref="I11:I44" si="1">IFERROR(J11/G11,0)</f>
        <v>6005.4210526315792</v>
      </c>
      <c r="J11" s="116">
        <v>114103</v>
      </c>
      <c r="K11" s="114">
        <v>3</v>
      </c>
      <c r="L11" s="115">
        <f t="shared" ref="L11:L44" si="2">IFERROR(K11/G11,0)</f>
        <v>0.15789473684210525</v>
      </c>
      <c r="N11" s="234"/>
      <c r="O11" s="237"/>
      <c r="P11" s="100"/>
    </row>
    <row r="12" spans="2:24" ht="27" customHeight="1">
      <c r="B12" s="112" t="s">
        <v>616</v>
      </c>
      <c r="C12" s="113" t="str">
        <f>VLOOKUP(B12,'파링_소재 RAW'!I:J,2,)</f>
        <v>비사업자 소재5</v>
      </c>
      <c r="D12" s="113" t="s">
        <v>564</v>
      </c>
      <c r="E12" s="113" t="s">
        <v>543</v>
      </c>
      <c r="F12" s="114">
        <v>168</v>
      </c>
      <c r="G12" s="114">
        <v>6</v>
      </c>
      <c r="H12" s="115">
        <f t="shared" si="0"/>
        <v>3.5714285714285712E-2</v>
      </c>
      <c r="I12" s="116">
        <f t="shared" si="1"/>
        <v>15310.166666666666</v>
      </c>
      <c r="J12" s="116">
        <v>91861</v>
      </c>
      <c r="K12" s="114">
        <v>1</v>
      </c>
      <c r="L12" s="115">
        <f t="shared" si="2"/>
        <v>0.16666666666666666</v>
      </c>
      <c r="N12" s="233" t="s">
        <v>149</v>
      </c>
      <c r="O12" s="239"/>
      <c r="P12" s="100"/>
    </row>
    <row r="13" spans="2:24" ht="27" customHeight="1">
      <c r="B13" s="112" t="s">
        <v>617</v>
      </c>
      <c r="C13" s="113" t="str">
        <f>VLOOKUP(B13,'파링_소재 RAW'!I:J,2,)</f>
        <v>단말기 소재4</v>
      </c>
      <c r="D13" s="113" t="s">
        <v>564</v>
      </c>
      <c r="E13" s="113" t="s">
        <v>540</v>
      </c>
      <c r="F13" s="114">
        <v>141</v>
      </c>
      <c r="G13" s="114">
        <v>10</v>
      </c>
      <c r="H13" s="115">
        <f t="shared" si="0"/>
        <v>7.0921985815602842E-2</v>
      </c>
      <c r="I13" s="116">
        <f t="shared" si="1"/>
        <v>8104.8</v>
      </c>
      <c r="J13" s="116">
        <v>81048</v>
      </c>
      <c r="K13" s="114">
        <v>4</v>
      </c>
      <c r="L13" s="115">
        <f t="shared" si="2"/>
        <v>0.4</v>
      </c>
      <c r="N13" s="234"/>
      <c r="O13" s="240"/>
      <c r="P13" s="100"/>
    </row>
    <row r="14" spans="2:24" ht="27" customHeight="1">
      <c r="B14" s="112" t="s">
        <v>615</v>
      </c>
      <c r="C14" s="113" t="str">
        <f>VLOOKUP(B14,'파링_소재 RAW'!I:J,2,)</f>
        <v>단말기 소재3</v>
      </c>
      <c r="D14" s="113" t="s">
        <v>564</v>
      </c>
      <c r="E14" s="113" t="s">
        <v>540</v>
      </c>
      <c r="F14" s="114">
        <v>169</v>
      </c>
      <c r="G14" s="114">
        <v>9</v>
      </c>
      <c r="H14" s="115">
        <f t="shared" si="0"/>
        <v>5.3254437869822487E-2</v>
      </c>
      <c r="I14" s="116">
        <f t="shared" si="1"/>
        <v>8116.7777777777774</v>
      </c>
      <c r="J14" s="116">
        <v>73051</v>
      </c>
      <c r="K14" s="114">
        <v>5</v>
      </c>
      <c r="L14" s="115">
        <f t="shared" si="2"/>
        <v>0.55555555555555558</v>
      </c>
      <c r="N14" s="233" t="s">
        <v>166</v>
      </c>
      <c r="O14" s="239"/>
      <c r="P14" s="100"/>
    </row>
    <row r="15" spans="2:24" ht="27" customHeight="1">
      <c r="B15" s="112" t="s">
        <v>497</v>
      </c>
      <c r="C15" s="113" t="str">
        <f>VLOOKUP(B15,'파링_소재 RAW'!I:J,2,)</f>
        <v>단말기 소재1</v>
      </c>
      <c r="D15" s="113" t="s">
        <v>565</v>
      </c>
      <c r="E15" s="113" t="s">
        <v>541</v>
      </c>
      <c r="F15" s="114">
        <v>502</v>
      </c>
      <c r="G15" s="114">
        <v>14</v>
      </c>
      <c r="H15" s="115">
        <f t="shared" si="0"/>
        <v>2.7888446215139442E-2</v>
      </c>
      <c r="I15" s="116">
        <f t="shared" si="1"/>
        <v>5122.0714285714284</v>
      </c>
      <c r="J15" s="116">
        <v>71709</v>
      </c>
      <c r="K15" s="114">
        <v>1</v>
      </c>
      <c r="L15" s="115">
        <f t="shared" si="2"/>
        <v>7.1428571428571425E-2</v>
      </c>
      <c r="N15" s="234"/>
      <c r="O15" s="240"/>
      <c r="P15" s="100"/>
    </row>
    <row r="16" spans="2:24" ht="27" customHeight="1">
      <c r="B16" s="112" t="s">
        <v>619</v>
      </c>
      <c r="C16" s="113" t="str">
        <f>VLOOKUP(B16,'파링_소재 RAW'!I:J,2,)</f>
        <v>비사업자 소재6</v>
      </c>
      <c r="D16" s="117" t="s">
        <v>564</v>
      </c>
      <c r="E16" s="117" t="s">
        <v>543</v>
      </c>
      <c r="F16" s="118">
        <v>176</v>
      </c>
      <c r="G16" s="118">
        <v>5</v>
      </c>
      <c r="H16" s="119">
        <f t="shared" si="0"/>
        <v>2.8409090909090908E-2</v>
      </c>
      <c r="I16" s="120">
        <f t="shared" si="1"/>
        <v>13204.4</v>
      </c>
      <c r="J16" s="120">
        <v>66022</v>
      </c>
      <c r="K16" s="118">
        <v>1</v>
      </c>
      <c r="L16" s="119">
        <f t="shared" si="2"/>
        <v>0.2</v>
      </c>
      <c r="N16" s="233" t="s">
        <v>637</v>
      </c>
      <c r="O16" s="239"/>
      <c r="P16" s="100"/>
    </row>
    <row r="17" spans="2:16" ht="27" customHeight="1">
      <c r="B17" s="112" t="s">
        <v>507</v>
      </c>
      <c r="C17" s="113" t="str">
        <f>VLOOKUP(B17,'파링_소재 RAW'!I:J,2,)</f>
        <v>단말기 소재2</v>
      </c>
      <c r="D17" s="113" t="s">
        <v>565</v>
      </c>
      <c r="E17" s="113" t="s">
        <v>548</v>
      </c>
      <c r="F17" s="114">
        <v>147</v>
      </c>
      <c r="G17" s="114">
        <v>7</v>
      </c>
      <c r="H17" s="115">
        <f t="shared" si="0"/>
        <v>4.7619047619047616E-2</v>
      </c>
      <c r="I17" s="116">
        <f t="shared" si="1"/>
        <v>5746.7142857142853</v>
      </c>
      <c r="J17" s="116">
        <v>40227</v>
      </c>
      <c r="K17" s="114">
        <v>0</v>
      </c>
      <c r="L17" s="115">
        <f t="shared" si="2"/>
        <v>0</v>
      </c>
      <c r="N17" s="234"/>
      <c r="O17" s="240"/>
      <c r="P17" s="100"/>
    </row>
    <row r="18" spans="2:16" ht="27" customHeight="1">
      <c r="B18" s="112" t="s">
        <v>632</v>
      </c>
      <c r="C18" s="113" t="str">
        <f>VLOOKUP(B18,'파링_소재 RAW'!I:J,2,)</f>
        <v>단말기 소재3</v>
      </c>
      <c r="D18" s="117" t="s">
        <v>564</v>
      </c>
      <c r="E18" s="117" t="s">
        <v>542</v>
      </c>
      <c r="F18" s="118">
        <v>105</v>
      </c>
      <c r="G18" s="118">
        <v>9</v>
      </c>
      <c r="H18" s="119">
        <f t="shared" si="0"/>
        <v>8.5714285714285715E-2</v>
      </c>
      <c r="I18" s="120">
        <f t="shared" si="1"/>
        <v>3927</v>
      </c>
      <c r="J18" s="120">
        <v>35343</v>
      </c>
      <c r="K18" s="118">
        <v>1</v>
      </c>
      <c r="L18" s="119">
        <f t="shared" si="2"/>
        <v>0.1111111111111111</v>
      </c>
      <c r="N18" s="233" t="s">
        <v>402</v>
      </c>
      <c r="O18" s="239"/>
      <c r="P18" s="100"/>
    </row>
    <row r="19" spans="2:16" ht="27" customHeight="1">
      <c r="B19" s="112" t="s">
        <v>506</v>
      </c>
      <c r="C19" s="113" t="str">
        <f>VLOOKUP(B19,'파링_소재 RAW'!I:J,2,)</f>
        <v>단말기 소재1</v>
      </c>
      <c r="D19" s="113" t="s">
        <v>565</v>
      </c>
      <c r="E19" s="113" t="s">
        <v>548</v>
      </c>
      <c r="F19" s="114">
        <v>165</v>
      </c>
      <c r="G19" s="114">
        <v>6</v>
      </c>
      <c r="H19" s="115">
        <f t="shared" si="0"/>
        <v>3.6363636363636362E-2</v>
      </c>
      <c r="I19" s="116">
        <f t="shared" si="1"/>
        <v>5764</v>
      </c>
      <c r="J19" s="116">
        <v>34584</v>
      </c>
      <c r="K19" s="114">
        <v>2</v>
      </c>
      <c r="L19" s="115">
        <f t="shared" si="2"/>
        <v>0.33333333333333331</v>
      </c>
      <c r="N19" s="234"/>
      <c r="O19" s="240"/>
      <c r="P19" s="100"/>
    </row>
    <row r="20" spans="2:16" ht="27" customHeight="1">
      <c r="B20" s="112" t="s">
        <v>634</v>
      </c>
      <c r="C20" s="113" t="str">
        <f>VLOOKUP(B20,'파링_소재 RAW'!I:J,2,)</f>
        <v>단말기 소재3</v>
      </c>
      <c r="D20" s="113" t="s">
        <v>564</v>
      </c>
      <c r="E20" s="113" t="s">
        <v>545</v>
      </c>
      <c r="F20" s="114">
        <v>136</v>
      </c>
      <c r="G20" s="114">
        <v>3</v>
      </c>
      <c r="H20" s="115">
        <f t="shared" si="0"/>
        <v>2.2058823529411766E-2</v>
      </c>
      <c r="I20" s="116">
        <f t="shared" si="1"/>
        <v>8499.3333333333339</v>
      </c>
      <c r="J20" s="116">
        <v>25498</v>
      </c>
      <c r="K20" s="114">
        <v>1</v>
      </c>
      <c r="L20" s="115">
        <f t="shared" si="2"/>
        <v>0.33333333333333331</v>
      </c>
      <c r="N20" s="233" t="s">
        <v>80</v>
      </c>
      <c r="O20" s="237"/>
      <c r="P20" s="100"/>
    </row>
    <row r="21" spans="2:16" ht="27" customHeight="1">
      <c r="B21" s="112" t="s">
        <v>629</v>
      </c>
      <c r="C21" s="113" t="str">
        <f>VLOOKUP(B21,'파링_소재 RAW'!I:J,2,)</f>
        <v>단말기 소재4</v>
      </c>
      <c r="D21" s="113" t="s">
        <v>564</v>
      </c>
      <c r="E21" s="113" t="s">
        <v>542</v>
      </c>
      <c r="F21" s="114">
        <v>102</v>
      </c>
      <c r="G21" s="114">
        <v>6</v>
      </c>
      <c r="H21" s="115">
        <f t="shared" si="0"/>
        <v>5.8823529411764705E-2</v>
      </c>
      <c r="I21" s="116">
        <f t="shared" si="1"/>
        <v>3767.5</v>
      </c>
      <c r="J21" s="116">
        <v>22605</v>
      </c>
      <c r="K21" s="114">
        <v>0</v>
      </c>
      <c r="L21" s="115">
        <f t="shared" si="2"/>
        <v>0</v>
      </c>
      <c r="N21" s="234"/>
      <c r="O21" s="237"/>
      <c r="P21" s="100"/>
    </row>
    <row r="22" spans="2:16" ht="27" customHeight="1">
      <c r="B22" s="112" t="s">
        <v>621</v>
      </c>
      <c r="C22" s="113" t="str">
        <f>VLOOKUP(B22,'파링_소재 RAW'!I:J,2,)</f>
        <v>비사업자 소재5</v>
      </c>
      <c r="D22" s="113" t="s">
        <v>564</v>
      </c>
      <c r="E22" s="113" t="s">
        <v>544</v>
      </c>
      <c r="F22" s="114">
        <v>60</v>
      </c>
      <c r="G22" s="114">
        <v>3</v>
      </c>
      <c r="H22" s="115">
        <f t="shared" si="0"/>
        <v>0.05</v>
      </c>
      <c r="I22" s="116">
        <f t="shared" si="1"/>
        <v>5650.333333333333</v>
      </c>
      <c r="J22" s="116">
        <v>16951</v>
      </c>
      <c r="K22" s="114">
        <v>1</v>
      </c>
      <c r="L22" s="115">
        <f t="shared" si="2"/>
        <v>0.33333333333333331</v>
      </c>
      <c r="N22" s="233" t="s">
        <v>186</v>
      </c>
      <c r="O22" s="237"/>
      <c r="P22" s="100"/>
    </row>
    <row r="23" spans="2:16" ht="27" customHeight="1">
      <c r="B23" s="112" t="s">
        <v>633</v>
      </c>
      <c r="C23" s="113" t="str">
        <f>VLOOKUP(B23,'파링_소재 RAW'!I:J,2,)</f>
        <v>단말기 소재3</v>
      </c>
      <c r="D23" s="113" t="s">
        <v>564</v>
      </c>
      <c r="E23" s="113" t="s">
        <v>547</v>
      </c>
      <c r="F23" s="114">
        <v>32</v>
      </c>
      <c r="G23" s="114">
        <v>3</v>
      </c>
      <c r="H23" s="115">
        <f t="shared" si="0"/>
        <v>9.375E-2</v>
      </c>
      <c r="I23" s="116">
        <f t="shared" si="1"/>
        <v>4847.333333333333</v>
      </c>
      <c r="J23" s="116">
        <v>14542</v>
      </c>
      <c r="K23" s="114">
        <v>0</v>
      </c>
      <c r="L23" s="115">
        <f t="shared" si="2"/>
        <v>0</v>
      </c>
      <c r="N23" s="234"/>
      <c r="O23" s="237"/>
      <c r="P23" s="100"/>
    </row>
    <row r="24" spans="2:16" ht="27" customHeight="1">
      <c r="B24" s="112" t="s">
        <v>618</v>
      </c>
      <c r="C24" s="113" t="str">
        <f>VLOOKUP(B24,'파링_소재 RAW'!I:J,2,)</f>
        <v>단말기 소재3</v>
      </c>
      <c r="D24" s="113" t="s">
        <v>564</v>
      </c>
      <c r="E24" s="113" t="s">
        <v>551</v>
      </c>
      <c r="F24" s="114">
        <v>15</v>
      </c>
      <c r="G24" s="114">
        <v>3</v>
      </c>
      <c r="H24" s="115">
        <f t="shared" si="0"/>
        <v>0.2</v>
      </c>
      <c r="I24" s="116">
        <f t="shared" si="1"/>
        <v>3846.3333333333335</v>
      </c>
      <c r="J24" s="116">
        <v>11539</v>
      </c>
      <c r="K24" s="114">
        <v>1</v>
      </c>
      <c r="L24" s="115">
        <f t="shared" si="2"/>
        <v>0.33333333333333331</v>
      </c>
      <c r="N24" s="233" t="s">
        <v>400</v>
      </c>
      <c r="O24" s="237"/>
      <c r="P24" s="100"/>
    </row>
    <row r="25" spans="2:16" ht="27" customHeight="1">
      <c r="B25" s="112" t="s">
        <v>628</v>
      </c>
      <c r="C25" s="113" t="str">
        <f>VLOOKUP(B25,'파링_소재 RAW'!I:J,2,)</f>
        <v>단말기 소재4</v>
      </c>
      <c r="D25" s="117" t="s">
        <v>564</v>
      </c>
      <c r="E25" s="117" t="s">
        <v>551</v>
      </c>
      <c r="F25" s="118">
        <v>13</v>
      </c>
      <c r="G25" s="118">
        <v>1</v>
      </c>
      <c r="H25" s="119">
        <f t="shared" si="0"/>
        <v>7.6923076923076927E-2</v>
      </c>
      <c r="I25" s="120">
        <f t="shared" si="1"/>
        <v>8063</v>
      </c>
      <c r="J25" s="120">
        <v>8063</v>
      </c>
      <c r="K25" s="118">
        <v>0</v>
      </c>
      <c r="L25" s="119">
        <f t="shared" si="2"/>
        <v>0</v>
      </c>
      <c r="N25" s="234"/>
      <c r="O25" s="237"/>
      <c r="P25" s="100"/>
    </row>
    <row r="26" spans="2:16" ht="27" customHeight="1">
      <c r="B26" s="112" t="s">
        <v>625</v>
      </c>
      <c r="C26" s="113" t="str">
        <f>VLOOKUP(B26,'파링_소재 RAW'!I:J,2,)</f>
        <v>비사업자 소재5</v>
      </c>
      <c r="D26" s="113" t="s">
        <v>564</v>
      </c>
      <c r="E26" s="113" t="s">
        <v>549</v>
      </c>
      <c r="F26" s="114">
        <v>90</v>
      </c>
      <c r="G26" s="114">
        <v>1</v>
      </c>
      <c r="H26" s="115">
        <f t="shared" si="0"/>
        <v>1.1111111111111112E-2</v>
      </c>
      <c r="I26" s="116">
        <f t="shared" si="1"/>
        <v>7876</v>
      </c>
      <c r="J26" s="116">
        <v>7876</v>
      </c>
      <c r="K26" s="114">
        <v>0</v>
      </c>
      <c r="L26" s="115">
        <f t="shared" si="2"/>
        <v>0</v>
      </c>
      <c r="N26" s="233" t="s">
        <v>401</v>
      </c>
      <c r="O26" s="235"/>
      <c r="P26" s="100"/>
    </row>
    <row r="27" spans="2:16" ht="27" customHeight="1">
      <c r="B27" s="112" t="s">
        <v>581</v>
      </c>
      <c r="C27" s="113" t="str">
        <f>VLOOKUP(B27,'파링_소재 RAW'!I:J,2,)</f>
        <v>요식 소재3</v>
      </c>
      <c r="D27" s="113" t="s">
        <v>565</v>
      </c>
      <c r="E27" s="113" t="s">
        <v>546</v>
      </c>
      <c r="F27" s="114">
        <v>163</v>
      </c>
      <c r="G27" s="114">
        <v>2</v>
      </c>
      <c r="H27" s="115">
        <f t="shared" si="0"/>
        <v>1.2269938650306749E-2</v>
      </c>
      <c r="I27" s="116">
        <f t="shared" si="1"/>
        <v>3047</v>
      </c>
      <c r="J27" s="116">
        <v>6094</v>
      </c>
      <c r="K27" s="114">
        <v>1</v>
      </c>
      <c r="L27" s="115">
        <f t="shared" si="2"/>
        <v>0.5</v>
      </c>
      <c r="N27" s="234"/>
      <c r="O27" s="236"/>
      <c r="P27" s="100"/>
    </row>
    <row r="28" spans="2:16" ht="27" customHeight="1">
      <c r="B28" s="112" t="s">
        <v>517</v>
      </c>
      <c r="C28" s="113" t="str">
        <f>VLOOKUP(B28,'파링_소재 RAW'!I:J,2,)</f>
        <v>도매/숙박 소재2</v>
      </c>
      <c r="D28" s="113" t="s">
        <v>565</v>
      </c>
      <c r="E28" s="113" t="s">
        <v>558</v>
      </c>
      <c r="F28" s="114">
        <v>10</v>
      </c>
      <c r="G28" s="114">
        <v>1</v>
      </c>
      <c r="H28" s="115">
        <f t="shared" si="0"/>
        <v>0.1</v>
      </c>
      <c r="I28" s="116">
        <f t="shared" si="1"/>
        <v>4884</v>
      </c>
      <c r="J28" s="116">
        <v>4884</v>
      </c>
      <c r="K28" s="114">
        <v>0</v>
      </c>
      <c r="L28" s="115">
        <f t="shared" si="2"/>
        <v>0</v>
      </c>
      <c r="N28" s="233" t="s">
        <v>638</v>
      </c>
      <c r="O28" s="235"/>
      <c r="P28" s="100"/>
    </row>
    <row r="29" spans="2:16" ht="27" customHeight="1">
      <c r="B29" s="112" t="s">
        <v>523</v>
      </c>
      <c r="C29" s="113" t="str">
        <f>VLOOKUP(B29,'파링_소재 RAW'!I:J,2,)</f>
        <v>요식 소재1</v>
      </c>
      <c r="D29" s="113" t="s">
        <v>565</v>
      </c>
      <c r="E29" s="113" t="s">
        <v>546</v>
      </c>
      <c r="F29" s="114">
        <v>152</v>
      </c>
      <c r="G29" s="114">
        <v>1</v>
      </c>
      <c r="H29" s="115">
        <f t="shared" si="0"/>
        <v>6.5789473684210523E-3</v>
      </c>
      <c r="I29" s="116">
        <f t="shared" si="1"/>
        <v>4246</v>
      </c>
      <c r="J29" s="116">
        <v>4246</v>
      </c>
      <c r="K29" s="114">
        <v>0</v>
      </c>
      <c r="L29" s="115">
        <f t="shared" si="2"/>
        <v>0</v>
      </c>
      <c r="N29" s="234"/>
      <c r="O29" s="236"/>
      <c r="P29" s="100"/>
    </row>
    <row r="30" spans="2:16" ht="27" customHeight="1">
      <c r="B30" s="112" t="s">
        <v>582</v>
      </c>
      <c r="C30" s="113" t="str">
        <f>VLOOKUP(B30,'파링_소재 RAW'!I:J,2,)</f>
        <v>요식 소재3</v>
      </c>
      <c r="D30" s="113" t="s">
        <v>565</v>
      </c>
      <c r="E30" s="113" t="s">
        <v>560</v>
      </c>
      <c r="F30" s="114">
        <v>28</v>
      </c>
      <c r="G30" s="114">
        <v>1</v>
      </c>
      <c r="H30" s="115">
        <f t="shared" si="0"/>
        <v>3.5714285714285712E-2</v>
      </c>
      <c r="I30" s="116">
        <f t="shared" si="1"/>
        <v>3388</v>
      </c>
      <c r="J30" s="116">
        <v>3388</v>
      </c>
      <c r="K30" s="114">
        <v>0</v>
      </c>
      <c r="L30" s="115">
        <f t="shared" si="2"/>
        <v>0</v>
      </c>
      <c r="N30" s="233" t="s">
        <v>639</v>
      </c>
      <c r="O30" s="235"/>
      <c r="P30" s="100"/>
    </row>
    <row r="31" spans="2:16" ht="27" customHeight="1">
      <c r="B31" s="112" t="s">
        <v>606</v>
      </c>
      <c r="C31" s="113" t="str">
        <f>VLOOKUP(B31,'파링_소재 RAW'!I:J,2,)</f>
        <v>즉시 소재1</v>
      </c>
      <c r="D31" s="113" t="s">
        <v>564</v>
      </c>
      <c r="E31" s="113" t="s">
        <v>605</v>
      </c>
      <c r="F31" s="114">
        <v>10</v>
      </c>
      <c r="G31" s="114">
        <v>2</v>
      </c>
      <c r="H31" s="115">
        <f t="shared" si="0"/>
        <v>0.2</v>
      </c>
      <c r="I31" s="116">
        <f t="shared" si="1"/>
        <v>1518</v>
      </c>
      <c r="J31" s="116">
        <v>3036</v>
      </c>
      <c r="K31" s="114">
        <v>2</v>
      </c>
      <c r="L31" s="115">
        <f t="shared" si="2"/>
        <v>1</v>
      </c>
      <c r="N31" s="234"/>
      <c r="O31" s="236"/>
      <c r="P31" s="100"/>
    </row>
    <row r="32" spans="2:16" ht="27" customHeight="1">
      <c r="B32" s="112" t="s">
        <v>514</v>
      </c>
      <c r="C32" s="113" t="str">
        <f>VLOOKUP(B32,'파링_소재 RAW'!I:J,2,)</f>
        <v>도매/숙박 소재1</v>
      </c>
      <c r="D32" s="113" t="s">
        <v>565</v>
      </c>
      <c r="E32" s="113" t="s">
        <v>553</v>
      </c>
      <c r="F32" s="114">
        <v>19</v>
      </c>
      <c r="G32" s="114">
        <v>2</v>
      </c>
      <c r="H32" s="115">
        <f t="shared" si="0"/>
        <v>0.10526315789473684</v>
      </c>
      <c r="I32" s="116">
        <f t="shared" si="1"/>
        <v>995.5</v>
      </c>
      <c r="J32" s="116">
        <v>1991</v>
      </c>
      <c r="K32" s="114">
        <v>0</v>
      </c>
      <c r="L32" s="115">
        <f t="shared" si="2"/>
        <v>0</v>
      </c>
      <c r="N32" s="233" t="s">
        <v>81</v>
      </c>
      <c r="O32" s="235"/>
      <c r="P32" s="100"/>
    </row>
    <row r="33" spans="2:16" ht="27" customHeight="1">
      <c r="B33" s="112" t="s">
        <v>589</v>
      </c>
      <c r="C33" s="113" t="str">
        <f>VLOOKUP(B33,'파링_소재 RAW'!I:J,2,)</f>
        <v>차량 소재3</v>
      </c>
      <c r="D33" s="113" t="s">
        <v>565</v>
      </c>
      <c r="E33" s="113" t="s">
        <v>613</v>
      </c>
      <c r="F33" s="114">
        <v>35</v>
      </c>
      <c r="G33" s="114">
        <v>2</v>
      </c>
      <c r="H33" s="115">
        <f t="shared" si="0"/>
        <v>5.7142857142857141E-2</v>
      </c>
      <c r="I33" s="116">
        <f t="shared" si="1"/>
        <v>902</v>
      </c>
      <c r="J33" s="116">
        <v>1804</v>
      </c>
      <c r="K33" s="114">
        <v>1</v>
      </c>
      <c r="L33" s="115">
        <f t="shared" si="2"/>
        <v>0.5</v>
      </c>
      <c r="N33" s="234"/>
      <c r="O33" s="236"/>
      <c r="P33" s="100"/>
    </row>
    <row r="34" spans="2:16" ht="27" customHeight="1">
      <c r="B34" s="112" t="s">
        <v>521</v>
      </c>
      <c r="C34" s="113" t="str">
        <f>VLOOKUP(B34,'파링_소재 RAW'!I:J,2,)</f>
        <v>스포츠/여가 소재2</v>
      </c>
      <c r="D34" s="117" t="s">
        <v>565</v>
      </c>
      <c r="E34" s="117" t="s">
        <v>555</v>
      </c>
      <c r="F34" s="118">
        <v>5</v>
      </c>
      <c r="G34" s="118">
        <v>1</v>
      </c>
      <c r="H34" s="119">
        <f t="shared" si="0"/>
        <v>0.2</v>
      </c>
      <c r="I34" s="120">
        <f t="shared" si="1"/>
        <v>990</v>
      </c>
      <c r="J34" s="120">
        <v>990</v>
      </c>
      <c r="K34" s="118">
        <v>0</v>
      </c>
      <c r="L34" s="119">
        <f t="shared" si="2"/>
        <v>0</v>
      </c>
      <c r="N34" s="233" t="s">
        <v>185</v>
      </c>
      <c r="O34" s="235"/>
      <c r="P34" s="100"/>
    </row>
    <row r="35" spans="2:16" ht="27" customHeight="1">
      <c r="B35" s="112" t="s">
        <v>519</v>
      </c>
      <c r="C35" s="113" t="str">
        <f>VLOOKUP(B35,'파링_소재 RAW'!I:J,2,)</f>
        <v>병원 소재2</v>
      </c>
      <c r="D35" s="117" t="s">
        <v>565</v>
      </c>
      <c r="E35" s="117" t="s">
        <v>552</v>
      </c>
      <c r="F35" s="118">
        <v>34</v>
      </c>
      <c r="G35" s="118">
        <v>1</v>
      </c>
      <c r="H35" s="119">
        <f t="shared" si="0"/>
        <v>2.9411764705882353E-2</v>
      </c>
      <c r="I35" s="120">
        <f t="shared" si="1"/>
        <v>594</v>
      </c>
      <c r="J35" s="120">
        <v>594</v>
      </c>
      <c r="K35" s="118">
        <v>0</v>
      </c>
      <c r="L35" s="119">
        <f t="shared" si="2"/>
        <v>0</v>
      </c>
      <c r="N35" s="234"/>
      <c r="O35" s="236"/>
      <c r="P35" s="100"/>
    </row>
    <row r="36" spans="2:16" ht="27" customHeight="1">
      <c r="B36" s="112" t="s">
        <v>450</v>
      </c>
      <c r="C36" s="113" t="str">
        <f>VLOOKUP(B36,'파링_소재 RAW'!I:J,2,)</f>
        <v>병원 소재1</v>
      </c>
      <c r="D36" s="117" t="s">
        <v>565</v>
      </c>
      <c r="E36" s="117" t="s">
        <v>552</v>
      </c>
      <c r="F36" s="118">
        <v>21</v>
      </c>
      <c r="G36" s="118">
        <v>2</v>
      </c>
      <c r="H36" s="119">
        <f t="shared" si="0"/>
        <v>9.5238095238095233E-2</v>
      </c>
      <c r="I36" s="120">
        <f t="shared" si="1"/>
        <v>286</v>
      </c>
      <c r="J36" s="120">
        <v>572</v>
      </c>
      <c r="K36" s="118">
        <v>0</v>
      </c>
      <c r="L36" s="119">
        <f t="shared" si="2"/>
        <v>0</v>
      </c>
      <c r="N36" s="233" t="s">
        <v>563</v>
      </c>
      <c r="O36" s="167"/>
      <c r="P36" s="100"/>
    </row>
    <row r="37" spans="2:16" ht="27" customHeight="1">
      <c r="B37" s="112" t="s">
        <v>515</v>
      </c>
      <c r="C37" s="113" t="str">
        <f>VLOOKUP(B37,'파링_소재 RAW'!I:J,2,)</f>
        <v>도매/숙박 소재2</v>
      </c>
      <c r="D37" s="117" t="s">
        <v>565</v>
      </c>
      <c r="E37" s="117" t="s">
        <v>553</v>
      </c>
      <c r="F37" s="118">
        <v>18</v>
      </c>
      <c r="G37" s="118">
        <v>1</v>
      </c>
      <c r="H37" s="119">
        <f t="shared" si="0"/>
        <v>5.5555555555555552E-2</v>
      </c>
      <c r="I37" s="120">
        <f t="shared" si="1"/>
        <v>517</v>
      </c>
      <c r="J37" s="120">
        <v>517</v>
      </c>
      <c r="K37" s="118">
        <v>0</v>
      </c>
      <c r="L37" s="119">
        <f t="shared" si="2"/>
        <v>0</v>
      </c>
      <c r="N37" s="234"/>
      <c r="O37" s="168"/>
      <c r="P37" s="100"/>
    </row>
    <row r="38" spans="2:16" ht="27" customHeight="1">
      <c r="B38" s="112" t="s">
        <v>518</v>
      </c>
      <c r="C38" s="113" t="str">
        <f>VLOOKUP(B38,'파링_소재 RAW'!I:J,2,)</f>
        <v>병원 소재2</v>
      </c>
      <c r="D38" s="117" t="s">
        <v>565</v>
      </c>
      <c r="E38" s="117" t="s">
        <v>554</v>
      </c>
      <c r="F38" s="118">
        <v>26</v>
      </c>
      <c r="G38" s="118">
        <v>1</v>
      </c>
      <c r="H38" s="119">
        <f t="shared" si="0"/>
        <v>3.8461538461538464E-2</v>
      </c>
      <c r="I38" s="120">
        <f t="shared" si="1"/>
        <v>297</v>
      </c>
      <c r="J38" s="120">
        <v>297</v>
      </c>
      <c r="K38" s="118">
        <v>2</v>
      </c>
      <c r="L38" s="119">
        <f t="shared" si="2"/>
        <v>2</v>
      </c>
      <c r="N38" s="233" t="s">
        <v>150</v>
      </c>
      <c r="O38" s="167"/>
      <c r="P38" s="100"/>
    </row>
    <row r="39" spans="2:16" ht="27" customHeight="1">
      <c r="B39" s="112" t="s">
        <v>448</v>
      </c>
      <c r="C39" s="113" t="str">
        <f>VLOOKUP(B39,'파링_소재 RAW'!I:J,2,)</f>
        <v>병원 소재1</v>
      </c>
      <c r="D39" s="117" t="s">
        <v>565</v>
      </c>
      <c r="E39" s="117" t="s">
        <v>554</v>
      </c>
      <c r="F39" s="118">
        <v>16</v>
      </c>
      <c r="G39" s="118">
        <v>1</v>
      </c>
      <c r="H39" s="119">
        <f t="shared" si="0"/>
        <v>6.25E-2</v>
      </c>
      <c r="I39" s="120">
        <f t="shared" si="1"/>
        <v>286</v>
      </c>
      <c r="J39" s="120">
        <v>286</v>
      </c>
      <c r="K39" s="118">
        <v>0</v>
      </c>
      <c r="L39" s="119">
        <f t="shared" si="2"/>
        <v>0</v>
      </c>
      <c r="N39" s="234"/>
      <c r="O39" s="168"/>
      <c r="P39" s="100"/>
    </row>
    <row r="40" spans="2:16" ht="27" customHeight="1">
      <c r="B40" s="112" t="s">
        <v>501</v>
      </c>
      <c r="C40" s="113" t="str">
        <f>VLOOKUP(B40,'파링_소재 RAW'!I:J,2,)</f>
        <v>교육/서비스 소재1</v>
      </c>
      <c r="D40" s="113" t="s">
        <v>565</v>
      </c>
      <c r="E40" s="113" t="s">
        <v>557</v>
      </c>
      <c r="F40" s="114">
        <v>19</v>
      </c>
      <c r="G40" s="114">
        <v>0</v>
      </c>
      <c r="H40" s="115">
        <f t="shared" si="0"/>
        <v>0</v>
      </c>
      <c r="I40" s="116">
        <f t="shared" si="1"/>
        <v>0</v>
      </c>
      <c r="J40" s="116">
        <v>0</v>
      </c>
      <c r="K40" s="114">
        <v>0</v>
      </c>
      <c r="L40" s="115">
        <f t="shared" si="2"/>
        <v>0</v>
      </c>
      <c r="N40" s="233" t="s">
        <v>151</v>
      </c>
      <c r="O40" s="165"/>
      <c r="P40" s="100"/>
    </row>
    <row r="41" spans="2:16" ht="27" customHeight="1">
      <c r="B41" s="112" t="s">
        <v>511</v>
      </c>
      <c r="C41" s="113" t="str">
        <f>VLOOKUP(B41,'파링_소재 RAW'!I:J,2,)</f>
        <v>교육/서비스 소재2</v>
      </c>
      <c r="D41" s="113" t="s">
        <v>565</v>
      </c>
      <c r="E41" s="113" t="s">
        <v>557</v>
      </c>
      <c r="F41" s="114">
        <v>23</v>
      </c>
      <c r="G41" s="114">
        <v>0</v>
      </c>
      <c r="H41" s="115">
        <f t="shared" si="0"/>
        <v>0</v>
      </c>
      <c r="I41" s="116">
        <f t="shared" si="1"/>
        <v>0</v>
      </c>
      <c r="J41" s="116">
        <v>0</v>
      </c>
      <c r="K41" s="114">
        <v>0</v>
      </c>
      <c r="L41" s="115">
        <f t="shared" si="2"/>
        <v>0</v>
      </c>
      <c r="N41" s="234"/>
      <c r="O41" s="166"/>
      <c r="P41" s="100"/>
    </row>
    <row r="42" spans="2:16" ht="27" customHeight="1">
      <c r="B42" s="112" t="s">
        <v>512</v>
      </c>
      <c r="C42" s="113" t="str">
        <f>VLOOKUP(B42,'파링_소재 RAW'!I:J,2,)</f>
        <v>교육/서비스 소재1</v>
      </c>
      <c r="D42" s="113" t="s">
        <v>565</v>
      </c>
      <c r="E42" s="113" t="s">
        <v>559</v>
      </c>
      <c r="F42" s="114">
        <v>33</v>
      </c>
      <c r="G42" s="114">
        <v>0</v>
      </c>
      <c r="H42" s="115">
        <f t="shared" si="0"/>
        <v>0</v>
      </c>
      <c r="I42" s="116">
        <f t="shared" si="1"/>
        <v>0</v>
      </c>
      <c r="J42" s="116">
        <v>0</v>
      </c>
      <c r="K42" s="114">
        <v>0</v>
      </c>
      <c r="L42" s="115">
        <f t="shared" si="2"/>
        <v>0</v>
      </c>
      <c r="N42" s="233" t="s">
        <v>152</v>
      </c>
      <c r="O42" s="165"/>
      <c r="P42" s="100"/>
    </row>
    <row r="43" spans="2:16" ht="27" customHeight="1">
      <c r="B43" s="112" t="s">
        <v>513</v>
      </c>
      <c r="C43" s="113" t="str">
        <f>VLOOKUP(B43,'파링_소재 RAW'!I:J,2,)</f>
        <v>교육/서비스 소재2</v>
      </c>
      <c r="D43" s="113" t="s">
        <v>565</v>
      </c>
      <c r="E43" s="113" t="s">
        <v>559</v>
      </c>
      <c r="F43" s="114">
        <v>35</v>
      </c>
      <c r="G43" s="114">
        <v>0</v>
      </c>
      <c r="H43" s="115">
        <f t="shared" si="0"/>
        <v>0</v>
      </c>
      <c r="I43" s="116">
        <f t="shared" si="1"/>
        <v>0</v>
      </c>
      <c r="J43" s="116">
        <v>0</v>
      </c>
      <c r="K43" s="114">
        <v>0</v>
      </c>
      <c r="L43" s="115">
        <f t="shared" si="2"/>
        <v>0</v>
      </c>
      <c r="N43" s="234"/>
      <c r="O43" s="166"/>
      <c r="P43" s="100"/>
    </row>
    <row r="44" spans="2:16" ht="27" customHeight="1">
      <c r="B44" s="112" t="s">
        <v>516</v>
      </c>
      <c r="C44" s="113" t="str">
        <f>VLOOKUP(B44,'파링_소재 RAW'!I:J,2,)</f>
        <v>도매/숙박 소재1</v>
      </c>
      <c r="D44" s="113" t="s">
        <v>565</v>
      </c>
      <c r="E44" s="113" t="s">
        <v>558</v>
      </c>
      <c r="F44" s="114">
        <v>4</v>
      </c>
      <c r="G44" s="114">
        <v>0</v>
      </c>
      <c r="H44" s="115">
        <f t="shared" si="0"/>
        <v>0</v>
      </c>
      <c r="I44" s="116">
        <f t="shared" si="1"/>
        <v>0</v>
      </c>
      <c r="J44" s="116">
        <v>0</v>
      </c>
      <c r="K44" s="114">
        <v>0</v>
      </c>
      <c r="L44" s="115">
        <f t="shared" si="2"/>
        <v>0</v>
      </c>
      <c r="N44" s="233" t="s">
        <v>153</v>
      </c>
      <c r="O44" s="167"/>
      <c r="P44" s="100"/>
    </row>
    <row r="45" spans="2:16" ht="27" customHeight="1">
      <c r="B45" s="112" t="s">
        <v>520</v>
      </c>
      <c r="C45" s="113" t="str">
        <f>VLOOKUP(B45,'파링_소재 RAW'!I:J,2,)</f>
        <v>스포츠/여가 소재1</v>
      </c>
      <c r="D45" s="113" t="s">
        <v>565</v>
      </c>
      <c r="E45" s="113" t="s">
        <v>555</v>
      </c>
      <c r="F45" s="114">
        <v>2</v>
      </c>
      <c r="G45" s="114">
        <v>0</v>
      </c>
      <c r="H45" s="115">
        <f t="shared" ref="H45:H48" si="3">IFERROR(G45/F45,0)</f>
        <v>0</v>
      </c>
      <c r="I45" s="116">
        <f t="shared" ref="I45:I48" si="4">IFERROR(J45/G45,0)</f>
        <v>0</v>
      </c>
      <c r="J45" s="116">
        <v>0</v>
      </c>
      <c r="K45" s="114">
        <v>0</v>
      </c>
      <c r="L45" s="115">
        <f t="shared" ref="L45:L57" si="5">IFERROR(K45/G45,0)</f>
        <v>0</v>
      </c>
      <c r="N45" s="234"/>
      <c r="O45" s="168"/>
      <c r="P45" s="100"/>
    </row>
    <row r="46" spans="2:16" ht="27" customHeight="1">
      <c r="B46" s="112" t="s">
        <v>522</v>
      </c>
      <c r="C46" s="113" t="str">
        <f>VLOOKUP(B46,'파링_소재 RAW'!I:J,2,)</f>
        <v>스포츠/여가 소재1</v>
      </c>
      <c r="D46" s="113" t="s">
        <v>565</v>
      </c>
      <c r="E46" s="113" t="s">
        <v>641</v>
      </c>
      <c r="F46" s="114">
        <v>1</v>
      </c>
      <c r="G46" s="114">
        <v>0</v>
      </c>
      <c r="H46" s="115">
        <f t="shared" si="3"/>
        <v>0</v>
      </c>
      <c r="I46" s="116">
        <f t="shared" si="4"/>
        <v>0</v>
      </c>
      <c r="J46" s="116">
        <v>0</v>
      </c>
      <c r="K46" s="114">
        <v>0</v>
      </c>
      <c r="L46" s="115">
        <f t="shared" si="5"/>
        <v>0</v>
      </c>
      <c r="N46" s="233" t="s">
        <v>154</v>
      </c>
      <c r="O46" s="165"/>
      <c r="P46" s="100"/>
    </row>
    <row r="47" spans="2:16" ht="27" customHeight="1">
      <c r="B47" s="112" t="s">
        <v>652</v>
      </c>
      <c r="C47" s="113" t="str">
        <f>VLOOKUP(B47,'파링_소재 RAW'!I:J,2,)</f>
        <v>스포츠/여가 소재2</v>
      </c>
      <c r="D47" s="113" t="s">
        <v>565</v>
      </c>
      <c r="E47" s="113" t="s">
        <v>641</v>
      </c>
      <c r="F47" s="114">
        <v>4</v>
      </c>
      <c r="G47" s="114">
        <v>0</v>
      </c>
      <c r="H47" s="115">
        <f t="shared" si="3"/>
        <v>0</v>
      </c>
      <c r="I47" s="116">
        <f t="shared" si="4"/>
        <v>0</v>
      </c>
      <c r="J47" s="116">
        <v>0</v>
      </c>
      <c r="K47" s="114">
        <v>0</v>
      </c>
      <c r="L47" s="115">
        <f t="shared" si="5"/>
        <v>0</v>
      </c>
      <c r="N47" s="234"/>
      <c r="O47" s="166"/>
      <c r="P47" s="100"/>
    </row>
    <row r="48" spans="2:16" ht="27" customHeight="1">
      <c r="B48" s="112" t="s">
        <v>525</v>
      </c>
      <c r="C48" s="113" t="str">
        <f>VLOOKUP(B48,'파링_소재 RAW'!I:J,2,)</f>
        <v>요식 소재1</v>
      </c>
      <c r="D48" s="113" t="s">
        <v>565</v>
      </c>
      <c r="E48" s="113" t="s">
        <v>560</v>
      </c>
      <c r="F48" s="114">
        <v>32</v>
      </c>
      <c r="G48" s="114">
        <v>0</v>
      </c>
      <c r="H48" s="115">
        <f t="shared" si="3"/>
        <v>0</v>
      </c>
      <c r="I48" s="116">
        <f t="shared" si="4"/>
        <v>0</v>
      </c>
      <c r="J48" s="116">
        <v>0</v>
      </c>
      <c r="K48" s="114">
        <v>0</v>
      </c>
      <c r="L48" s="115">
        <f t="shared" si="5"/>
        <v>0</v>
      </c>
      <c r="N48" s="233" t="s">
        <v>155</v>
      </c>
      <c r="O48" s="167"/>
      <c r="P48" s="100"/>
    </row>
    <row r="49" spans="2:16" ht="27" customHeight="1">
      <c r="B49" s="112" t="s">
        <v>529</v>
      </c>
      <c r="C49" s="113" t="str">
        <f>VLOOKUP(B49,'파링_소재 RAW'!I:J,2,)</f>
        <v>차량 소재2</v>
      </c>
      <c r="D49" s="113" t="s">
        <v>565</v>
      </c>
      <c r="E49" s="113" t="s">
        <v>556</v>
      </c>
      <c r="F49" s="114">
        <v>21</v>
      </c>
      <c r="G49" s="114">
        <v>0</v>
      </c>
      <c r="H49" s="115">
        <f t="shared" ref="H49:H52" si="6">IFERROR(G49/F49,0)</f>
        <v>0</v>
      </c>
      <c r="I49" s="116">
        <f t="shared" ref="I49:I52" si="7">IFERROR(J49/G49,0)</f>
        <v>0</v>
      </c>
      <c r="J49" s="116">
        <v>0</v>
      </c>
      <c r="K49" s="114">
        <v>0</v>
      </c>
      <c r="L49" s="115">
        <f t="shared" si="5"/>
        <v>0</v>
      </c>
      <c r="N49" s="234"/>
      <c r="O49" s="168"/>
      <c r="P49" s="100"/>
    </row>
    <row r="50" spans="2:16" ht="27" customHeight="1">
      <c r="B50" s="112" t="s">
        <v>530</v>
      </c>
      <c r="C50" s="113" t="str">
        <f>VLOOKUP(B50,'파링_소재 RAW'!I:J,2,)</f>
        <v>차량 소재2</v>
      </c>
      <c r="D50" s="113" t="s">
        <v>565</v>
      </c>
      <c r="E50" s="113" t="s">
        <v>613</v>
      </c>
      <c r="F50" s="114">
        <v>27</v>
      </c>
      <c r="G50" s="114">
        <v>0</v>
      </c>
      <c r="H50" s="115">
        <f t="shared" si="6"/>
        <v>0</v>
      </c>
      <c r="I50" s="116">
        <f t="shared" si="7"/>
        <v>0</v>
      </c>
      <c r="J50" s="116">
        <v>0</v>
      </c>
      <c r="K50" s="114">
        <v>0</v>
      </c>
      <c r="L50" s="115">
        <f t="shared" si="5"/>
        <v>0</v>
      </c>
      <c r="N50" s="233" t="s">
        <v>258</v>
      </c>
      <c r="O50" s="167"/>
      <c r="P50" s="100"/>
    </row>
    <row r="51" spans="2:16" ht="27" customHeight="1">
      <c r="B51" s="112" t="s">
        <v>588</v>
      </c>
      <c r="C51" s="113" t="str">
        <f>VLOOKUP(B51,'파링_소재 RAW'!I:J,2,)</f>
        <v>차량 소재3</v>
      </c>
      <c r="D51" s="113" t="s">
        <v>565</v>
      </c>
      <c r="E51" s="113" t="s">
        <v>556</v>
      </c>
      <c r="F51" s="114">
        <v>10</v>
      </c>
      <c r="G51" s="114">
        <v>0</v>
      </c>
      <c r="H51" s="115">
        <f t="shared" si="6"/>
        <v>0</v>
      </c>
      <c r="I51" s="116">
        <f t="shared" si="7"/>
        <v>0</v>
      </c>
      <c r="J51" s="116">
        <v>0</v>
      </c>
      <c r="K51" s="114">
        <v>0</v>
      </c>
      <c r="L51" s="115">
        <f t="shared" si="5"/>
        <v>0</v>
      </c>
      <c r="N51" s="234"/>
      <c r="O51" s="168"/>
      <c r="P51" s="100"/>
    </row>
    <row r="52" spans="2:16" ht="27" customHeight="1">
      <c r="B52" s="112" t="s">
        <v>597</v>
      </c>
      <c r="C52" s="113" t="str">
        <f>VLOOKUP(B52,'파링_소재 RAW'!I:J,2,)</f>
        <v>즉시 소재1</v>
      </c>
      <c r="D52" s="113" t="s">
        <v>564</v>
      </c>
      <c r="E52" s="113" t="s">
        <v>595</v>
      </c>
      <c r="F52" s="114">
        <v>7</v>
      </c>
      <c r="G52" s="114">
        <v>0</v>
      </c>
      <c r="H52" s="115">
        <f t="shared" si="6"/>
        <v>0</v>
      </c>
      <c r="I52" s="116">
        <f t="shared" si="7"/>
        <v>0</v>
      </c>
      <c r="J52" s="116">
        <v>0</v>
      </c>
      <c r="K52" s="114">
        <v>0</v>
      </c>
      <c r="L52" s="115">
        <f t="shared" si="5"/>
        <v>0</v>
      </c>
      <c r="N52" s="233" t="s">
        <v>259</v>
      </c>
      <c r="O52" s="167"/>
      <c r="P52" s="100"/>
    </row>
    <row r="53" spans="2:16" ht="27" customHeight="1">
      <c r="B53" s="112" t="s">
        <v>598</v>
      </c>
      <c r="C53" s="113" t="str">
        <f>VLOOKUP(B53,'파링_소재 RAW'!I:J,2,)</f>
        <v>즉시 소재2</v>
      </c>
      <c r="D53" s="113" t="s">
        <v>564</v>
      </c>
      <c r="E53" s="113" t="s">
        <v>595</v>
      </c>
      <c r="F53" s="114">
        <v>3</v>
      </c>
      <c r="G53" s="114">
        <v>0</v>
      </c>
      <c r="H53" s="115">
        <f t="shared" ref="H53:H57" si="8">IFERROR(G53/F53,0)</f>
        <v>0</v>
      </c>
      <c r="I53" s="116">
        <f t="shared" ref="I53:I57" si="9">IFERROR(J53/G53,0)</f>
        <v>0</v>
      </c>
      <c r="J53" s="116">
        <v>0</v>
      </c>
      <c r="K53" s="114">
        <v>0</v>
      </c>
      <c r="L53" s="115">
        <f t="shared" si="5"/>
        <v>0</v>
      </c>
      <c r="N53" s="234"/>
      <c r="O53" s="168"/>
      <c r="P53" s="100"/>
    </row>
    <row r="54" spans="2:16" ht="27" customHeight="1">
      <c r="B54" s="112" t="s">
        <v>607</v>
      </c>
      <c r="C54" s="113" t="str">
        <f>VLOOKUP(B54,'파링_소재 RAW'!I:J,2,)</f>
        <v>즉시 소재2</v>
      </c>
      <c r="D54" s="113" t="s">
        <v>564</v>
      </c>
      <c r="E54" s="113" t="s">
        <v>605</v>
      </c>
      <c r="F54" s="114">
        <v>2</v>
      </c>
      <c r="G54" s="114">
        <v>0</v>
      </c>
      <c r="H54" s="115">
        <f t="shared" si="8"/>
        <v>0</v>
      </c>
      <c r="I54" s="116">
        <f t="shared" si="9"/>
        <v>0</v>
      </c>
      <c r="J54" s="116">
        <v>0</v>
      </c>
      <c r="K54" s="114">
        <v>0</v>
      </c>
      <c r="L54" s="115">
        <f t="shared" si="5"/>
        <v>0</v>
      </c>
      <c r="N54" s="233" t="s">
        <v>538</v>
      </c>
      <c r="O54" s="167"/>
      <c r="P54" s="100"/>
    </row>
    <row r="55" spans="2:16" ht="27" customHeight="1">
      <c r="B55" s="112" t="s">
        <v>599</v>
      </c>
      <c r="C55" s="113" t="str">
        <f>VLOOKUP(B55,'파링_소재 RAW'!I:J,2,)</f>
        <v>즉시 소재1</v>
      </c>
      <c r="D55" s="113" t="s">
        <v>564</v>
      </c>
      <c r="E55" s="113" t="s">
        <v>596</v>
      </c>
      <c r="F55" s="114">
        <v>3</v>
      </c>
      <c r="G55" s="114">
        <v>0</v>
      </c>
      <c r="H55" s="115">
        <f t="shared" si="8"/>
        <v>0</v>
      </c>
      <c r="I55" s="116">
        <f t="shared" si="9"/>
        <v>0</v>
      </c>
      <c r="J55" s="116">
        <v>0</v>
      </c>
      <c r="K55" s="114">
        <v>0</v>
      </c>
      <c r="L55" s="115">
        <f t="shared" si="5"/>
        <v>0</v>
      </c>
      <c r="N55" s="234"/>
      <c r="O55" s="168"/>
      <c r="P55" s="100"/>
    </row>
    <row r="56" spans="2:16" ht="27" customHeight="1">
      <c r="B56" s="112" t="s">
        <v>600</v>
      </c>
      <c r="C56" s="113" t="str">
        <f>VLOOKUP(B56,'파링_소재 RAW'!I:J,2,)</f>
        <v>즉시 소재2</v>
      </c>
      <c r="D56" s="113" t="s">
        <v>564</v>
      </c>
      <c r="E56" s="113" t="s">
        <v>596</v>
      </c>
      <c r="F56" s="114">
        <v>3</v>
      </c>
      <c r="G56" s="114">
        <v>0</v>
      </c>
      <c r="H56" s="115">
        <f t="shared" si="8"/>
        <v>0</v>
      </c>
      <c r="I56" s="116">
        <f t="shared" si="9"/>
        <v>0</v>
      </c>
      <c r="J56" s="116">
        <v>0</v>
      </c>
      <c r="K56" s="114">
        <v>0</v>
      </c>
      <c r="L56" s="115">
        <f t="shared" si="5"/>
        <v>0</v>
      </c>
      <c r="N56" s="233" t="s">
        <v>539</v>
      </c>
      <c r="O56" s="167"/>
      <c r="P56" s="100"/>
    </row>
    <row r="57" spans="2:16" ht="27" customHeight="1">
      <c r="B57" s="112" t="s">
        <v>624</v>
      </c>
      <c r="C57" s="113" t="str">
        <f>VLOOKUP(B57,'파링_소재 RAW'!I:J,2,)</f>
        <v>비사업자 소재5</v>
      </c>
      <c r="D57" s="113" t="s">
        <v>564</v>
      </c>
      <c r="E57" s="113" t="s">
        <v>550</v>
      </c>
      <c r="F57" s="114">
        <v>11</v>
      </c>
      <c r="G57" s="114">
        <v>0</v>
      </c>
      <c r="H57" s="115">
        <f t="shared" si="8"/>
        <v>0</v>
      </c>
      <c r="I57" s="116">
        <f t="shared" si="9"/>
        <v>0</v>
      </c>
      <c r="J57" s="116">
        <v>0</v>
      </c>
      <c r="K57" s="114">
        <v>0</v>
      </c>
      <c r="L57" s="115">
        <f t="shared" si="5"/>
        <v>0</v>
      </c>
      <c r="N57" s="234"/>
      <c r="O57" s="168"/>
      <c r="P57" s="100"/>
    </row>
    <row r="58" spans="2:16" ht="27" customHeight="1">
      <c r="B58" s="112" t="s">
        <v>626</v>
      </c>
      <c r="C58" s="113" t="str">
        <f>VLOOKUP(B58,'파링_소재 RAW'!I:J,2,)</f>
        <v>비사업자 소재6</v>
      </c>
      <c r="D58" s="113" t="s">
        <v>564</v>
      </c>
      <c r="E58" s="113" t="s">
        <v>544</v>
      </c>
      <c r="F58" s="114">
        <v>46</v>
      </c>
      <c r="G58" s="114">
        <v>0</v>
      </c>
      <c r="H58" s="115">
        <f t="shared" ref="H58:H59" si="10">IFERROR(G58/F58,0)</f>
        <v>0</v>
      </c>
      <c r="I58" s="116">
        <f t="shared" ref="I58:I59" si="11">IFERROR(J58/G58,0)</f>
        <v>0</v>
      </c>
      <c r="J58" s="116">
        <v>0</v>
      </c>
      <c r="K58" s="114">
        <v>0</v>
      </c>
      <c r="L58" s="115">
        <f t="shared" ref="L58:L59" si="12">IFERROR(K58/G58,0)</f>
        <v>0</v>
      </c>
      <c r="N58" s="233" t="s">
        <v>583</v>
      </c>
      <c r="O58" s="167"/>
      <c r="P58" s="100"/>
    </row>
    <row r="59" spans="2:16" ht="27" customHeight="1">
      <c r="B59" s="112" t="s">
        <v>627</v>
      </c>
      <c r="C59" s="113" t="str">
        <f>VLOOKUP(B59,'파링_소재 RAW'!I:J,2,)</f>
        <v>비사업자 소재6</v>
      </c>
      <c r="D59" s="113" t="s">
        <v>564</v>
      </c>
      <c r="E59" s="113" t="s">
        <v>550</v>
      </c>
      <c r="F59" s="114">
        <v>18</v>
      </c>
      <c r="G59" s="114">
        <v>0</v>
      </c>
      <c r="H59" s="115">
        <f t="shared" si="10"/>
        <v>0</v>
      </c>
      <c r="I59" s="116">
        <f t="shared" si="11"/>
        <v>0</v>
      </c>
      <c r="J59" s="116">
        <v>0</v>
      </c>
      <c r="K59" s="114">
        <v>0</v>
      </c>
      <c r="L59" s="115">
        <f t="shared" si="12"/>
        <v>0</v>
      </c>
      <c r="N59" s="234"/>
      <c r="O59" s="168"/>
      <c r="P59" s="100"/>
    </row>
    <row r="60" spans="2:16" ht="27" customHeight="1">
      <c r="B60" s="112" t="s">
        <v>620</v>
      </c>
      <c r="C60" s="113" t="str">
        <f>VLOOKUP(B60,'파링_소재 RAW'!I:J,2,)</f>
        <v>비사업자 소재6</v>
      </c>
      <c r="D60" s="113" t="s">
        <v>564</v>
      </c>
      <c r="E60" s="113" t="s">
        <v>549</v>
      </c>
      <c r="F60" s="114">
        <v>86</v>
      </c>
      <c r="G60" s="114">
        <v>0</v>
      </c>
      <c r="H60" s="115">
        <f t="shared" ref="H60" si="13">IFERROR(G60/F60,0)</f>
        <v>0</v>
      </c>
      <c r="I60" s="116">
        <f t="shared" ref="I60" si="14">IFERROR(J60/G60,0)</f>
        <v>0</v>
      </c>
      <c r="J60" s="116">
        <v>0</v>
      </c>
      <c r="K60" s="114">
        <v>0</v>
      </c>
      <c r="L60" s="115">
        <f t="shared" ref="L60" si="15">IFERROR(K60/G60,0)</f>
        <v>0</v>
      </c>
      <c r="N60" s="233" t="s">
        <v>159</v>
      </c>
      <c r="O60" s="165"/>
      <c r="P60" s="100"/>
    </row>
    <row r="61" spans="2:16" ht="27" customHeight="1">
      <c r="B61" s="112" t="s">
        <v>623</v>
      </c>
      <c r="C61" s="113" t="str">
        <f>VLOOKUP(B61,'파링_소재 RAW'!I:J,2,)</f>
        <v>단말기 소재4</v>
      </c>
      <c r="D61" s="113" t="s">
        <v>564</v>
      </c>
      <c r="E61" s="113" t="s">
        <v>547</v>
      </c>
      <c r="F61" s="114">
        <v>21</v>
      </c>
      <c r="G61" s="114">
        <v>0</v>
      </c>
      <c r="H61" s="115">
        <f t="shared" ref="H61:H62" si="16">IFERROR(G61/F61,0)</f>
        <v>0</v>
      </c>
      <c r="I61" s="116">
        <f t="shared" ref="I61:I62" si="17">IFERROR(J61/G61,0)</f>
        <v>0</v>
      </c>
      <c r="J61" s="116">
        <v>0</v>
      </c>
      <c r="K61" s="114">
        <v>0</v>
      </c>
      <c r="L61" s="115">
        <f t="shared" ref="L61:L62" si="18">IFERROR(K61/G61,0)</f>
        <v>0</v>
      </c>
      <c r="N61" s="234"/>
      <c r="O61" s="166"/>
      <c r="P61" s="100"/>
    </row>
    <row r="62" spans="2:16" ht="27" customHeight="1">
      <c r="B62" s="112" t="s">
        <v>622</v>
      </c>
      <c r="C62" s="113" t="str">
        <f>VLOOKUP(B62,'파링_소재 RAW'!I:J,2,)</f>
        <v>단말기 소재4</v>
      </c>
      <c r="D62" s="113" t="s">
        <v>564</v>
      </c>
      <c r="E62" s="113" t="s">
        <v>545</v>
      </c>
      <c r="F62" s="114">
        <v>122</v>
      </c>
      <c r="G62" s="114">
        <v>0</v>
      </c>
      <c r="H62" s="115">
        <f t="shared" si="16"/>
        <v>0</v>
      </c>
      <c r="I62" s="116">
        <f t="shared" si="17"/>
        <v>0</v>
      </c>
      <c r="J62" s="116">
        <v>0</v>
      </c>
      <c r="K62" s="114">
        <v>2</v>
      </c>
      <c r="L62" s="115">
        <f t="shared" si="18"/>
        <v>0</v>
      </c>
      <c r="N62" s="233" t="s">
        <v>280</v>
      </c>
      <c r="O62" s="165"/>
      <c r="P62" s="100"/>
    </row>
    <row r="63" spans="2:16" ht="27" customHeight="1">
      <c r="B63" s="112" t="s">
        <v>633</v>
      </c>
      <c r="C63" s="113"/>
      <c r="D63" s="113"/>
      <c r="E63" s="113"/>
      <c r="F63" s="114"/>
      <c r="G63" s="114"/>
      <c r="H63" s="115"/>
      <c r="I63" s="116"/>
      <c r="J63" s="116"/>
      <c r="K63" s="114"/>
      <c r="L63" s="115"/>
      <c r="N63" s="234"/>
      <c r="O63" s="166"/>
      <c r="P63" s="100"/>
    </row>
    <row r="64" spans="2:16" ht="27" customHeight="1">
      <c r="B64" s="112">
        <v>0</v>
      </c>
      <c r="C64" s="113"/>
      <c r="D64" s="113"/>
      <c r="E64" s="113"/>
      <c r="F64" s="114"/>
      <c r="G64" s="114"/>
      <c r="H64" s="115"/>
      <c r="I64" s="116"/>
      <c r="J64" s="116"/>
      <c r="K64" s="114"/>
      <c r="L64" s="115"/>
      <c r="N64" s="233" t="s">
        <v>160</v>
      </c>
      <c r="O64" s="167"/>
      <c r="P64" s="100"/>
    </row>
    <row r="65" spans="2:16" ht="27" customHeight="1">
      <c r="B65" s="112">
        <v>0</v>
      </c>
      <c r="C65" s="113"/>
      <c r="D65" s="113"/>
      <c r="E65" s="113"/>
      <c r="F65" s="114"/>
      <c r="G65" s="114"/>
      <c r="H65" s="115"/>
      <c r="I65" s="116"/>
      <c r="J65" s="116"/>
      <c r="K65" s="114"/>
      <c r="L65" s="115"/>
      <c r="N65" s="234"/>
      <c r="O65" s="168"/>
      <c r="P65" s="100"/>
    </row>
    <row r="66" spans="2:16" ht="27" customHeight="1">
      <c r="B66" s="112">
        <f>'파링_소재 RAW'!A57</f>
        <v>0</v>
      </c>
      <c r="C66" s="113"/>
      <c r="D66" s="113"/>
      <c r="E66" s="113"/>
      <c r="F66" s="114"/>
      <c r="G66" s="114"/>
      <c r="H66" s="115"/>
      <c r="I66" s="116"/>
      <c r="J66" s="116"/>
      <c r="K66" s="114"/>
      <c r="L66" s="115"/>
      <c r="N66" s="233" t="s">
        <v>161</v>
      </c>
      <c r="O66" s="165"/>
      <c r="P66" s="100"/>
    </row>
    <row r="67" spans="2:16" ht="27" customHeight="1">
      <c r="B67" s="112">
        <f>'파링_소재 RAW'!A58</f>
        <v>0</v>
      </c>
      <c r="C67" s="113"/>
      <c r="D67" s="113"/>
      <c r="E67" s="113"/>
      <c r="F67" s="114"/>
      <c r="G67" s="114"/>
      <c r="H67" s="115"/>
      <c r="I67" s="116"/>
      <c r="J67" s="116"/>
      <c r="K67" s="114"/>
      <c r="L67" s="115"/>
      <c r="N67" s="234"/>
      <c r="O67" s="166"/>
      <c r="P67" s="100"/>
    </row>
    <row r="68" spans="2:16" ht="27" customHeight="1">
      <c r="B68" s="112">
        <f>'파링_소재 RAW'!A59</f>
        <v>0</v>
      </c>
      <c r="C68" s="113"/>
      <c r="D68" s="113"/>
      <c r="E68" s="113"/>
      <c r="F68" s="114"/>
      <c r="G68" s="114"/>
      <c r="H68" s="115"/>
      <c r="I68" s="116"/>
      <c r="J68" s="116"/>
      <c r="K68" s="114"/>
      <c r="L68" s="115"/>
      <c r="N68" s="233" t="s">
        <v>590</v>
      </c>
      <c r="O68" s="167"/>
      <c r="P68" s="100"/>
    </row>
    <row r="69" spans="2:16" ht="27" customHeight="1">
      <c r="B69" s="112">
        <v>1</v>
      </c>
      <c r="C69" s="113"/>
      <c r="D69" s="113"/>
      <c r="E69" s="113"/>
      <c r="F69" s="114"/>
      <c r="G69" s="114"/>
      <c r="H69" s="115"/>
      <c r="I69" s="116"/>
      <c r="J69" s="116"/>
      <c r="K69" s="114"/>
      <c r="L69" s="115"/>
      <c r="N69" s="234"/>
      <c r="O69" s="168"/>
      <c r="P69" s="100"/>
    </row>
    <row r="70" spans="2:16" ht="27" customHeight="1">
      <c r="B70" s="112">
        <v>1</v>
      </c>
      <c r="C70" s="113"/>
      <c r="D70" s="113"/>
      <c r="E70" s="113"/>
      <c r="F70" s="114"/>
      <c r="G70" s="114"/>
      <c r="H70" s="115"/>
      <c r="I70" s="116"/>
      <c r="J70" s="116"/>
      <c r="K70" s="114"/>
      <c r="L70" s="115"/>
      <c r="N70" s="233" t="s">
        <v>602</v>
      </c>
      <c r="O70" s="167"/>
      <c r="P70" s="100"/>
    </row>
    <row r="71" spans="2:16" ht="27" customHeight="1">
      <c r="B71" s="112">
        <v>1</v>
      </c>
      <c r="C71" s="113"/>
      <c r="D71" s="113"/>
      <c r="E71" s="113"/>
      <c r="F71" s="114"/>
      <c r="G71" s="114"/>
      <c r="H71" s="115"/>
      <c r="I71" s="116"/>
      <c r="J71" s="116"/>
      <c r="K71" s="114"/>
      <c r="L71" s="115"/>
      <c r="N71" s="234"/>
      <c r="O71" s="168"/>
      <c r="P71" s="100"/>
    </row>
    <row r="72" spans="2:16" ht="27" customHeight="1">
      <c r="B72" s="112">
        <v>1</v>
      </c>
      <c r="C72" s="113"/>
      <c r="D72" s="113"/>
      <c r="E72" s="113"/>
      <c r="F72" s="114"/>
      <c r="G72" s="114"/>
      <c r="H72" s="115"/>
      <c r="I72" s="116"/>
      <c r="J72" s="116"/>
      <c r="K72" s="114"/>
      <c r="L72" s="115"/>
      <c r="N72" s="233" t="s">
        <v>603</v>
      </c>
      <c r="O72" s="167"/>
      <c r="P72" s="100"/>
    </row>
    <row r="73" spans="2:16" ht="27" customHeight="1">
      <c r="B73" s="112">
        <v>1</v>
      </c>
      <c r="C73" s="113"/>
      <c r="D73" s="113"/>
      <c r="E73" s="113"/>
      <c r="F73" s="114"/>
      <c r="G73" s="114"/>
      <c r="H73" s="115"/>
      <c r="I73" s="116"/>
      <c r="J73" s="116"/>
      <c r="K73" s="114"/>
      <c r="L73" s="115"/>
      <c r="N73" s="234"/>
      <c r="O73" s="168"/>
      <c r="P73" s="100"/>
    </row>
    <row r="74" spans="2:16" ht="27" customHeight="1">
      <c r="B74" s="112">
        <v>1</v>
      </c>
      <c r="C74" s="113"/>
      <c r="D74" s="113"/>
      <c r="E74" s="113"/>
      <c r="F74" s="114"/>
      <c r="G74" s="114"/>
      <c r="H74" s="115"/>
      <c r="I74" s="116"/>
      <c r="J74" s="116"/>
      <c r="K74" s="114"/>
      <c r="L74" s="115"/>
      <c r="N74" s="124"/>
      <c r="O74" s="124"/>
      <c r="P74" s="100"/>
    </row>
    <row r="75" spans="2:16" ht="27" customHeight="1">
      <c r="B75" s="112">
        <v>1</v>
      </c>
      <c r="C75" s="113"/>
      <c r="D75" s="113"/>
      <c r="E75" s="113"/>
      <c r="F75" s="114"/>
      <c r="G75" s="114"/>
      <c r="H75" s="115"/>
      <c r="I75" s="116"/>
      <c r="J75" s="116"/>
      <c r="K75" s="114"/>
      <c r="L75" s="115"/>
      <c r="N75" s="124"/>
      <c r="O75" s="124"/>
      <c r="P75" s="100"/>
    </row>
    <row r="76" spans="2:16" ht="27" customHeight="1">
      <c r="B76" s="112">
        <v>1</v>
      </c>
      <c r="C76" s="113"/>
      <c r="D76" s="113"/>
      <c r="E76" s="113"/>
      <c r="F76" s="114"/>
      <c r="G76" s="114"/>
      <c r="H76" s="115"/>
      <c r="I76" s="116"/>
      <c r="J76" s="116"/>
      <c r="K76" s="114"/>
      <c r="L76" s="115"/>
      <c r="N76" s="124"/>
      <c r="O76" s="124"/>
      <c r="P76" s="100"/>
    </row>
    <row r="77" spans="2:16" ht="27" customHeight="1">
      <c r="B77" s="112">
        <v>1</v>
      </c>
      <c r="C77" s="113"/>
      <c r="D77" s="113"/>
      <c r="E77" s="113"/>
      <c r="F77" s="114"/>
      <c r="G77" s="114"/>
      <c r="H77" s="115"/>
      <c r="I77" s="116"/>
      <c r="J77" s="116"/>
      <c r="K77" s="114"/>
      <c r="L77" s="115"/>
      <c r="N77" s="124"/>
      <c r="O77" s="124"/>
      <c r="P77" s="100"/>
    </row>
    <row r="78" spans="2:16" ht="27" customHeight="1">
      <c r="B78" s="112">
        <v>1</v>
      </c>
      <c r="C78" s="113"/>
      <c r="D78" s="113"/>
      <c r="E78" s="113"/>
      <c r="F78" s="114"/>
      <c r="G78" s="114"/>
      <c r="H78" s="115"/>
      <c r="I78" s="116"/>
      <c r="J78" s="116"/>
      <c r="K78" s="114"/>
      <c r="L78" s="115"/>
      <c r="N78" s="124"/>
      <c r="O78" s="124"/>
      <c r="P78" s="100"/>
    </row>
    <row r="79" spans="2:16" ht="27" customHeight="1">
      <c r="B79" s="112">
        <v>1</v>
      </c>
      <c r="C79" s="113"/>
      <c r="D79" s="113"/>
      <c r="E79" s="113"/>
      <c r="F79" s="114"/>
      <c r="G79" s="114"/>
      <c r="H79" s="115"/>
      <c r="I79" s="116"/>
      <c r="J79" s="116"/>
      <c r="K79" s="114"/>
      <c r="L79" s="115"/>
      <c r="O79" s="124"/>
      <c r="P79" s="100"/>
    </row>
    <row r="80" spans="2:16" ht="27" customHeight="1">
      <c r="B80" s="112">
        <v>1</v>
      </c>
      <c r="C80" s="113"/>
      <c r="D80" s="113"/>
      <c r="E80" s="113"/>
      <c r="F80" s="114"/>
      <c r="G80" s="114"/>
      <c r="H80" s="115"/>
      <c r="I80" s="116"/>
      <c r="J80" s="116"/>
      <c r="K80" s="114"/>
      <c r="L80" s="115"/>
      <c r="O80" s="124"/>
      <c r="P80" s="100"/>
    </row>
    <row r="81" spans="2:16" ht="27" customHeight="1">
      <c r="B81" s="112">
        <v>1</v>
      </c>
      <c r="C81" s="113"/>
      <c r="D81" s="113"/>
      <c r="E81" s="113"/>
      <c r="F81" s="114"/>
      <c r="G81" s="114"/>
      <c r="H81" s="115"/>
      <c r="I81" s="116"/>
      <c r="J81" s="116"/>
      <c r="K81" s="114"/>
      <c r="L81" s="115"/>
      <c r="O81" s="124"/>
      <c r="P81" s="100"/>
    </row>
    <row r="82" spans="2:16" ht="27" customHeight="1">
      <c r="B82" s="112">
        <v>1</v>
      </c>
      <c r="C82" s="113"/>
      <c r="D82" s="113"/>
      <c r="E82" s="113"/>
      <c r="F82" s="114"/>
      <c r="G82" s="114"/>
      <c r="H82" s="115"/>
      <c r="I82" s="116"/>
      <c r="J82" s="116"/>
      <c r="K82" s="114"/>
      <c r="L82" s="115"/>
      <c r="O82" s="124"/>
      <c r="P82" s="100"/>
    </row>
    <row r="83" spans="2:16" ht="27" customHeight="1">
      <c r="B83" s="112">
        <v>1</v>
      </c>
      <c r="C83" s="113"/>
      <c r="D83" s="113"/>
      <c r="E83" s="113"/>
      <c r="F83" s="114"/>
      <c r="G83" s="114"/>
      <c r="H83" s="115"/>
      <c r="I83" s="116"/>
      <c r="J83" s="116"/>
      <c r="K83" s="114"/>
      <c r="L83" s="115"/>
      <c r="O83" s="124"/>
    </row>
    <row r="84" spans="2:16" ht="27" customHeight="1">
      <c r="B84" s="112">
        <v>1</v>
      </c>
      <c r="C84" s="113"/>
      <c r="D84" s="113"/>
      <c r="E84" s="113"/>
      <c r="F84" s="114"/>
      <c r="G84" s="114"/>
      <c r="H84" s="115"/>
      <c r="I84" s="116"/>
      <c r="J84" s="116"/>
      <c r="K84" s="114"/>
      <c r="L84" s="115"/>
      <c r="O84" s="124"/>
    </row>
    <row r="85" spans="2:16" ht="27" customHeight="1">
      <c r="B85" s="112">
        <v>1</v>
      </c>
      <c r="C85" s="113"/>
      <c r="D85" s="113"/>
      <c r="E85" s="113"/>
      <c r="F85" s="114"/>
      <c r="G85" s="114"/>
      <c r="H85" s="115"/>
      <c r="I85" s="116"/>
      <c r="J85" s="116"/>
      <c r="K85" s="114"/>
      <c r="L85" s="115"/>
      <c r="O85" s="124"/>
    </row>
    <row r="86" spans="2:16" ht="27" customHeight="1">
      <c r="B86" s="112">
        <v>1</v>
      </c>
      <c r="C86" s="113"/>
      <c r="D86" s="113"/>
      <c r="E86" s="113"/>
      <c r="F86" s="114"/>
      <c r="G86" s="114"/>
      <c r="H86" s="115"/>
      <c r="I86" s="116"/>
      <c r="J86" s="116"/>
      <c r="K86" s="114"/>
      <c r="L86" s="115"/>
      <c r="O86" s="124"/>
    </row>
    <row r="87" spans="2:16" ht="27" customHeight="1">
      <c r="B87" s="112">
        <v>1</v>
      </c>
      <c r="C87" s="113"/>
      <c r="D87" s="113"/>
      <c r="E87" s="113"/>
      <c r="F87" s="114"/>
      <c r="G87" s="114"/>
      <c r="H87" s="115"/>
      <c r="I87" s="116"/>
      <c r="J87" s="116"/>
      <c r="K87" s="114"/>
      <c r="L87" s="115"/>
      <c r="O87" s="124"/>
    </row>
    <row r="88" spans="2:16" ht="27" customHeight="1">
      <c r="B88" s="112">
        <v>1</v>
      </c>
      <c r="C88" s="113"/>
      <c r="D88" s="113"/>
      <c r="E88" s="113"/>
      <c r="F88" s="114"/>
      <c r="G88" s="114"/>
      <c r="H88" s="115"/>
      <c r="I88" s="116"/>
      <c r="J88" s="116"/>
      <c r="K88" s="114"/>
      <c r="L88" s="115"/>
      <c r="O88" s="124"/>
    </row>
    <row r="89" spans="2:16" ht="27" customHeight="1">
      <c r="B89" s="112">
        <v>1</v>
      </c>
      <c r="C89" s="113"/>
      <c r="D89" s="113"/>
      <c r="E89" s="113"/>
      <c r="F89" s="114"/>
      <c r="G89" s="114"/>
      <c r="H89" s="115"/>
      <c r="I89" s="116"/>
      <c r="J89" s="116"/>
      <c r="K89" s="114"/>
      <c r="L89" s="115"/>
      <c r="O89" s="124"/>
    </row>
    <row r="90" spans="2:16" ht="27" customHeight="1">
      <c r="B90" s="112">
        <v>1</v>
      </c>
      <c r="C90" s="113"/>
      <c r="D90" s="113"/>
      <c r="E90" s="113"/>
      <c r="F90" s="114"/>
      <c r="G90" s="114"/>
      <c r="H90" s="115"/>
      <c r="I90" s="116"/>
      <c r="J90" s="116"/>
      <c r="K90" s="114"/>
      <c r="L90" s="115"/>
      <c r="O90" s="124"/>
    </row>
    <row r="91" spans="2:16" ht="27" customHeight="1">
      <c r="C91" s="113"/>
      <c r="D91" s="113"/>
      <c r="E91" s="113"/>
      <c r="F91" s="114"/>
      <c r="G91" s="114"/>
      <c r="H91" s="115"/>
      <c r="I91" s="116"/>
      <c r="J91" s="116"/>
      <c r="K91" s="114"/>
      <c r="L91" s="115"/>
      <c r="O91" s="124"/>
    </row>
    <row r="92" spans="2:16" ht="27" customHeight="1">
      <c r="C92" s="113"/>
      <c r="D92" s="113"/>
      <c r="E92" s="113"/>
      <c r="F92" s="114"/>
      <c r="G92" s="114"/>
      <c r="H92" s="115"/>
      <c r="I92" s="116"/>
      <c r="J92" s="116"/>
      <c r="K92" s="114"/>
      <c r="L92" s="115"/>
      <c r="O92" s="124"/>
    </row>
    <row r="93" spans="2:16" ht="27" customHeight="1">
      <c r="C93" s="113"/>
      <c r="D93" s="113"/>
      <c r="E93" s="113"/>
      <c r="F93" s="114"/>
      <c r="G93" s="114"/>
      <c r="H93" s="115"/>
      <c r="I93" s="116"/>
      <c r="J93" s="116"/>
      <c r="K93" s="114"/>
      <c r="L93" s="115"/>
      <c r="O93" s="124"/>
    </row>
    <row r="94" spans="2:16" ht="27" customHeight="1">
      <c r="C94" s="113"/>
      <c r="D94" s="113"/>
      <c r="E94" s="113"/>
      <c r="F94" s="114"/>
      <c r="G94" s="114"/>
      <c r="H94" s="115"/>
      <c r="I94" s="116"/>
      <c r="J94" s="116"/>
      <c r="K94" s="114"/>
      <c r="L94" s="115"/>
      <c r="O94" s="124"/>
    </row>
    <row r="95" spans="2:16" ht="27" customHeight="1">
      <c r="C95" s="113"/>
      <c r="D95" s="113"/>
      <c r="E95" s="113"/>
      <c r="F95" s="114"/>
      <c r="G95" s="114"/>
      <c r="H95" s="115"/>
      <c r="I95" s="116"/>
      <c r="J95" s="116"/>
      <c r="K95" s="114"/>
      <c r="L95" s="115"/>
      <c r="O95" s="124"/>
    </row>
    <row r="96" spans="2:16" ht="27" customHeight="1">
      <c r="C96" s="113"/>
      <c r="D96" s="113"/>
      <c r="E96" s="113"/>
      <c r="F96" s="114"/>
      <c r="G96" s="114"/>
      <c r="H96" s="115"/>
      <c r="I96" s="116"/>
      <c r="J96" s="116"/>
      <c r="K96" s="114"/>
      <c r="L96" s="115"/>
      <c r="O96" s="124"/>
    </row>
    <row r="97" spans="3:15" ht="27" customHeight="1">
      <c r="C97" s="113"/>
      <c r="D97" s="113"/>
      <c r="E97" s="113"/>
      <c r="F97" s="114"/>
      <c r="G97" s="114"/>
      <c r="H97" s="115"/>
      <c r="I97" s="116"/>
      <c r="J97" s="116"/>
      <c r="K97" s="114"/>
      <c r="L97" s="115"/>
      <c r="O97" s="124"/>
    </row>
    <row r="98" spans="3:15" ht="27" customHeight="1">
      <c r="C98" s="113"/>
      <c r="D98" s="113"/>
      <c r="E98" s="113"/>
      <c r="F98" s="114"/>
      <c r="G98" s="114"/>
      <c r="H98" s="115"/>
      <c r="I98" s="116"/>
      <c r="J98" s="116"/>
      <c r="K98" s="114"/>
      <c r="L98" s="115"/>
      <c r="O98" s="124"/>
    </row>
    <row r="99" spans="3:15" ht="27" customHeight="1">
      <c r="C99" s="113"/>
      <c r="D99" s="113"/>
      <c r="E99" s="113"/>
      <c r="F99" s="114"/>
      <c r="G99" s="114"/>
      <c r="H99" s="115"/>
      <c r="I99" s="116"/>
      <c r="J99" s="116"/>
      <c r="K99" s="114"/>
      <c r="L99" s="115"/>
      <c r="O99" s="124"/>
    </row>
    <row r="100" spans="3:15" ht="27" customHeight="1">
      <c r="C100" s="113"/>
      <c r="D100" s="113"/>
      <c r="E100" s="113"/>
      <c r="F100" s="114"/>
      <c r="G100" s="114"/>
      <c r="H100" s="115"/>
      <c r="I100" s="116"/>
      <c r="J100" s="116"/>
      <c r="K100" s="114"/>
      <c r="L100" s="115"/>
      <c r="O100" s="124"/>
    </row>
    <row r="101" spans="3:15" ht="27" customHeight="1">
      <c r="C101" s="113"/>
      <c r="D101" s="113"/>
      <c r="E101" s="113"/>
      <c r="F101" s="114"/>
      <c r="G101" s="114"/>
      <c r="H101" s="115"/>
      <c r="I101" s="116"/>
      <c r="J101" s="116"/>
      <c r="K101" s="114"/>
      <c r="L101" s="115"/>
      <c r="O101" s="124"/>
    </row>
    <row r="102" spans="3:15" ht="27" customHeight="1">
      <c r="C102" s="113"/>
      <c r="D102" s="113"/>
      <c r="E102" s="113"/>
      <c r="F102" s="114"/>
      <c r="G102" s="114"/>
      <c r="H102" s="115"/>
      <c r="I102" s="116"/>
      <c r="J102" s="116"/>
      <c r="K102" s="114"/>
      <c r="L102" s="115"/>
      <c r="O102" s="124"/>
    </row>
    <row r="103" spans="3:15" ht="27" customHeight="1">
      <c r="C103" s="113"/>
      <c r="D103" s="113"/>
      <c r="E103" s="113"/>
      <c r="F103" s="114"/>
      <c r="G103" s="114"/>
      <c r="H103" s="115"/>
      <c r="I103" s="116"/>
      <c r="J103" s="116"/>
      <c r="K103" s="114"/>
      <c r="L103" s="115"/>
      <c r="N103" s="123"/>
      <c r="O103" s="124"/>
    </row>
    <row r="104" spans="3:15" ht="27" customHeight="1">
      <c r="C104" s="113"/>
      <c r="D104" s="113"/>
      <c r="E104" s="113"/>
      <c r="F104" s="114"/>
      <c r="G104" s="114"/>
      <c r="H104" s="115"/>
      <c r="I104" s="116"/>
      <c r="J104" s="116"/>
      <c r="K104" s="114"/>
      <c r="L104" s="115"/>
      <c r="N104" s="123"/>
      <c r="O104" s="124"/>
    </row>
    <row r="105" spans="3:15" ht="27" customHeight="1">
      <c r="C105" s="113"/>
      <c r="D105" s="113"/>
      <c r="E105" s="113"/>
      <c r="F105" s="114"/>
      <c r="G105" s="114"/>
      <c r="H105" s="115"/>
      <c r="I105" s="116"/>
      <c r="J105" s="116"/>
      <c r="K105" s="114"/>
      <c r="L105" s="115"/>
      <c r="N105" s="123"/>
      <c r="O105" s="124"/>
    </row>
    <row r="106" spans="3:15" ht="27" customHeight="1">
      <c r="C106" s="113"/>
      <c r="D106" s="113"/>
      <c r="E106" s="113"/>
      <c r="F106" s="114"/>
      <c r="G106" s="114"/>
      <c r="H106" s="115"/>
      <c r="I106" s="116"/>
      <c r="J106" s="116"/>
      <c r="K106" s="114"/>
      <c r="L106" s="115"/>
      <c r="N106" s="123"/>
      <c r="O106" s="124"/>
    </row>
    <row r="107" spans="3:15" ht="27" customHeight="1">
      <c r="C107" s="113"/>
      <c r="D107" s="113"/>
      <c r="E107" s="113"/>
      <c r="F107" s="114"/>
      <c r="G107" s="114"/>
      <c r="H107" s="115"/>
      <c r="I107" s="116"/>
      <c r="J107" s="116"/>
      <c r="K107" s="114"/>
      <c r="L107" s="115"/>
      <c r="N107" s="123"/>
      <c r="O107" s="124"/>
    </row>
    <row r="108" spans="3:15" ht="27" customHeight="1">
      <c r="C108" s="113"/>
      <c r="D108" s="113"/>
      <c r="E108" s="113"/>
      <c r="F108" s="114"/>
      <c r="G108" s="114"/>
      <c r="H108" s="115"/>
      <c r="I108" s="116"/>
      <c r="J108" s="116"/>
      <c r="K108" s="114"/>
      <c r="L108" s="115"/>
      <c r="N108" s="123"/>
      <c r="O108" s="124"/>
    </row>
    <row r="109" spans="3:15" ht="27" customHeight="1">
      <c r="C109" s="113"/>
      <c r="D109" s="113"/>
      <c r="E109" s="113"/>
      <c r="F109" s="114"/>
      <c r="G109" s="114"/>
      <c r="H109" s="115"/>
      <c r="I109" s="116"/>
      <c r="J109" s="116"/>
      <c r="K109" s="114"/>
      <c r="L109" s="115"/>
    </row>
    <row r="110" spans="3:15" ht="27" customHeight="1">
      <c r="C110" s="113"/>
      <c r="D110" s="113"/>
      <c r="E110" s="113"/>
      <c r="F110" s="114"/>
      <c r="G110" s="114"/>
      <c r="H110" s="115"/>
      <c r="I110" s="116"/>
      <c r="J110" s="116"/>
      <c r="K110" s="114"/>
      <c r="L110" s="115"/>
    </row>
    <row r="111" spans="3:15" ht="27" customHeight="1">
      <c r="C111" s="113"/>
      <c r="D111" s="113"/>
      <c r="E111" s="113"/>
      <c r="F111" s="114"/>
      <c r="G111" s="114"/>
      <c r="H111" s="115"/>
      <c r="I111" s="116"/>
      <c r="J111" s="116"/>
      <c r="K111" s="114"/>
      <c r="L111" s="115"/>
    </row>
    <row r="112" spans="3:15" ht="27" customHeight="1">
      <c r="C112" s="113"/>
      <c r="D112" s="113"/>
      <c r="E112" s="113"/>
      <c r="F112" s="114"/>
      <c r="G112" s="114"/>
      <c r="H112" s="115"/>
      <c r="I112" s="116"/>
      <c r="J112" s="116"/>
      <c r="K112" s="114"/>
      <c r="L112" s="115"/>
    </row>
    <row r="113" spans="3:12" ht="27" customHeight="1">
      <c r="C113" s="113"/>
      <c r="D113" s="113"/>
      <c r="E113" s="113"/>
      <c r="F113" s="114"/>
      <c r="G113" s="114"/>
      <c r="H113" s="115"/>
      <c r="I113" s="116"/>
      <c r="J113" s="116"/>
      <c r="K113" s="114"/>
      <c r="L113" s="115"/>
    </row>
    <row r="114" spans="3:12" ht="27" customHeight="1">
      <c r="C114" s="113"/>
      <c r="D114" s="113"/>
      <c r="E114" s="113"/>
      <c r="F114" s="114"/>
      <c r="G114" s="114"/>
      <c r="H114" s="115"/>
      <c r="I114" s="116"/>
      <c r="J114" s="116"/>
      <c r="K114" s="114"/>
      <c r="L114" s="115"/>
    </row>
    <row r="115" spans="3:12" ht="27" customHeight="1">
      <c r="C115" s="113"/>
      <c r="D115" s="113"/>
      <c r="E115" s="113"/>
      <c r="F115" s="114"/>
      <c r="G115" s="114"/>
      <c r="H115" s="115"/>
      <c r="I115" s="116"/>
      <c r="J115" s="116"/>
      <c r="K115" s="114"/>
      <c r="L115" s="115"/>
    </row>
    <row r="116" spans="3:12" ht="27" customHeight="1">
      <c r="C116" s="113"/>
      <c r="D116" s="113"/>
      <c r="E116" s="113"/>
      <c r="F116" s="114"/>
      <c r="G116" s="114"/>
      <c r="H116" s="115"/>
      <c r="I116" s="116"/>
      <c r="J116" s="116"/>
      <c r="K116" s="114"/>
      <c r="L116" s="115"/>
    </row>
    <row r="117" spans="3:12" ht="27" customHeight="1">
      <c r="C117" s="113"/>
      <c r="D117" s="113"/>
      <c r="E117" s="113"/>
      <c r="F117" s="114"/>
      <c r="G117" s="114"/>
      <c r="H117" s="115"/>
      <c r="I117" s="116"/>
      <c r="J117" s="116"/>
      <c r="K117" s="114"/>
      <c r="L117" s="115"/>
    </row>
    <row r="118" spans="3:12" ht="27" customHeight="1">
      <c r="C118" s="113"/>
      <c r="D118" s="113"/>
      <c r="E118" s="113"/>
      <c r="F118" s="114"/>
      <c r="G118" s="114"/>
      <c r="H118" s="115"/>
      <c r="I118" s="116"/>
      <c r="J118" s="116"/>
      <c r="K118" s="114"/>
      <c r="L118" s="115"/>
    </row>
    <row r="119" spans="3:12" ht="27" customHeight="1">
      <c r="C119" s="113"/>
      <c r="D119" s="113"/>
      <c r="E119" s="113"/>
      <c r="F119" s="114"/>
      <c r="G119" s="114"/>
      <c r="H119" s="115"/>
      <c r="I119" s="116"/>
      <c r="J119" s="116"/>
      <c r="K119" s="114"/>
      <c r="L119" s="115"/>
    </row>
    <row r="120" spans="3:12" ht="27" customHeight="1">
      <c r="C120" s="113"/>
      <c r="D120" s="113"/>
      <c r="E120" s="113"/>
      <c r="F120" s="114"/>
      <c r="G120" s="114"/>
      <c r="H120" s="115"/>
      <c r="I120" s="116"/>
      <c r="J120" s="116"/>
      <c r="K120" s="114"/>
      <c r="L120" s="115"/>
    </row>
    <row r="121" spans="3:12" ht="27" customHeight="1">
      <c r="C121" s="113"/>
      <c r="D121" s="113"/>
      <c r="E121" s="113"/>
      <c r="F121" s="114"/>
      <c r="G121" s="114"/>
      <c r="H121" s="115"/>
      <c r="I121" s="116"/>
      <c r="J121" s="116"/>
      <c r="K121" s="114"/>
      <c r="L121" s="115"/>
    </row>
    <row r="122" spans="3:12" ht="27" customHeight="1">
      <c r="C122" s="113"/>
      <c r="D122" s="113"/>
      <c r="E122" s="113"/>
      <c r="F122" s="114"/>
      <c r="G122" s="114"/>
      <c r="H122" s="115"/>
      <c r="I122" s="116"/>
      <c r="J122" s="116"/>
      <c r="K122" s="114"/>
      <c r="L122" s="115"/>
    </row>
    <row r="123" spans="3:12" ht="27" customHeight="1">
      <c r="C123" s="113"/>
      <c r="D123" s="113"/>
      <c r="E123" s="113"/>
      <c r="F123" s="114"/>
      <c r="G123" s="114"/>
      <c r="H123" s="115"/>
      <c r="I123" s="116"/>
      <c r="J123" s="116"/>
      <c r="K123" s="114"/>
      <c r="L123" s="115"/>
    </row>
    <row r="124" spans="3:12" ht="27" customHeight="1">
      <c r="C124" s="113"/>
      <c r="D124" s="113"/>
      <c r="E124" s="113"/>
      <c r="F124" s="114"/>
      <c r="G124" s="114"/>
      <c r="H124" s="115"/>
      <c r="I124" s="116"/>
      <c r="J124" s="116"/>
      <c r="K124" s="114"/>
      <c r="L124" s="115"/>
    </row>
    <row r="125" spans="3:12" ht="27" customHeight="1">
      <c r="C125" s="113"/>
      <c r="D125" s="113"/>
      <c r="E125" s="113"/>
      <c r="F125" s="114"/>
      <c r="G125" s="114"/>
      <c r="H125" s="115"/>
      <c r="I125" s="116"/>
      <c r="J125" s="116"/>
      <c r="K125" s="114"/>
      <c r="L125" s="115"/>
    </row>
    <row r="126" spans="3:12" ht="27" customHeight="1">
      <c r="C126" s="113"/>
      <c r="D126" s="113"/>
      <c r="E126" s="113"/>
      <c r="F126" s="114"/>
      <c r="G126" s="114"/>
      <c r="H126" s="115"/>
      <c r="I126" s="116"/>
      <c r="J126" s="116"/>
      <c r="K126" s="114"/>
      <c r="L126" s="115"/>
    </row>
    <row r="127" spans="3:12" ht="27" customHeight="1">
      <c r="C127" s="113"/>
      <c r="D127" s="113"/>
      <c r="E127" s="113"/>
      <c r="F127" s="114"/>
      <c r="G127" s="114"/>
      <c r="H127" s="115"/>
      <c r="I127" s="116"/>
      <c r="J127" s="116"/>
      <c r="K127" s="114"/>
      <c r="L127" s="115"/>
    </row>
    <row r="128" spans="3:12" ht="27" customHeight="1">
      <c r="C128" s="113"/>
      <c r="D128" s="113"/>
      <c r="E128" s="113"/>
      <c r="F128" s="114"/>
      <c r="G128" s="114"/>
      <c r="H128" s="115"/>
      <c r="I128" s="116"/>
      <c r="J128" s="116"/>
      <c r="K128" s="114"/>
      <c r="L128" s="115"/>
    </row>
    <row r="129" spans="3:12" ht="27" customHeight="1">
      <c r="C129" s="113"/>
      <c r="D129" s="113"/>
      <c r="E129" s="113"/>
      <c r="F129" s="114"/>
      <c r="G129" s="114"/>
      <c r="H129" s="115"/>
      <c r="I129" s="116"/>
      <c r="J129" s="116"/>
      <c r="K129" s="114"/>
      <c r="L129" s="115"/>
    </row>
    <row r="130" spans="3:12" ht="27" customHeight="1">
      <c r="C130" s="113"/>
      <c r="D130" s="113"/>
      <c r="E130" s="113"/>
      <c r="F130" s="114"/>
      <c r="G130" s="114"/>
      <c r="H130" s="115"/>
      <c r="I130" s="116"/>
      <c r="J130" s="116"/>
      <c r="K130" s="114"/>
      <c r="L130" s="115"/>
    </row>
    <row r="131" spans="3:12" ht="27" customHeight="1">
      <c r="C131" s="113"/>
      <c r="D131" s="113"/>
      <c r="E131" s="113"/>
      <c r="F131" s="114"/>
      <c r="G131" s="114"/>
      <c r="H131" s="115"/>
      <c r="I131" s="116"/>
      <c r="J131" s="116"/>
      <c r="K131" s="114"/>
      <c r="L131" s="115"/>
    </row>
    <row r="132" spans="3:12" ht="27" customHeight="1">
      <c r="C132" s="113"/>
      <c r="D132" s="113"/>
      <c r="E132" s="113"/>
      <c r="F132" s="114"/>
      <c r="G132" s="114"/>
      <c r="H132" s="115"/>
      <c r="I132" s="116"/>
      <c r="J132" s="116"/>
      <c r="K132" s="114"/>
      <c r="L132" s="115"/>
    </row>
    <row r="133" spans="3:12" ht="27" customHeight="1">
      <c r="C133" s="113"/>
      <c r="D133" s="113"/>
      <c r="E133" s="113"/>
      <c r="F133" s="114"/>
      <c r="G133" s="114"/>
      <c r="H133" s="115"/>
      <c r="I133" s="116"/>
      <c r="J133" s="116"/>
      <c r="K133" s="114"/>
      <c r="L133" s="115"/>
    </row>
    <row r="134" spans="3:12" ht="27" customHeight="1">
      <c r="C134" s="113"/>
      <c r="D134" s="113"/>
      <c r="E134" s="113"/>
      <c r="F134" s="114"/>
      <c r="G134" s="114"/>
      <c r="H134" s="115"/>
      <c r="I134" s="116"/>
      <c r="J134" s="116"/>
      <c r="K134" s="114"/>
      <c r="L134" s="115"/>
    </row>
    <row r="135" spans="3:12" ht="27" customHeight="1">
      <c r="C135" s="113"/>
      <c r="D135" s="113"/>
      <c r="E135" s="113"/>
      <c r="F135" s="114"/>
      <c r="G135" s="114"/>
      <c r="H135" s="115"/>
      <c r="I135" s="116"/>
      <c r="J135" s="116"/>
      <c r="K135" s="114"/>
      <c r="L135" s="115"/>
    </row>
    <row r="136" spans="3:12" ht="27" customHeight="1">
      <c r="C136" s="113"/>
      <c r="D136" s="113"/>
      <c r="E136" s="113"/>
      <c r="F136" s="114"/>
      <c r="G136" s="114"/>
      <c r="H136" s="115"/>
      <c r="I136" s="116"/>
      <c r="J136" s="116"/>
      <c r="K136" s="114"/>
      <c r="L136" s="115"/>
    </row>
    <row r="137" spans="3:12" ht="27" customHeight="1">
      <c r="C137" s="113"/>
      <c r="D137" s="113"/>
      <c r="E137" s="113"/>
      <c r="F137" s="114"/>
      <c r="G137" s="114"/>
      <c r="H137" s="115"/>
      <c r="I137" s="116"/>
      <c r="J137" s="116"/>
      <c r="K137" s="114"/>
      <c r="L137" s="115"/>
    </row>
    <row r="138" spans="3:12" ht="27" customHeight="1">
      <c r="C138" s="113"/>
      <c r="D138" s="113"/>
      <c r="E138" s="113"/>
      <c r="F138" s="114"/>
      <c r="G138" s="114"/>
      <c r="H138" s="115"/>
      <c r="I138" s="116"/>
      <c r="J138" s="116"/>
      <c r="K138" s="114"/>
      <c r="L138" s="115"/>
    </row>
    <row r="139" spans="3:12" ht="27" customHeight="1">
      <c r="C139" s="113"/>
      <c r="D139" s="113"/>
      <c r="E139" s="113"/>
      <c r="F139" s="114"/>
      <c r="G139" s="114"/>
      <c r="H139" s="115"/>
      <c r="I139" s="116"/>
      <c r="J139" s="116"/>
      <c r="K139" s="114"/>
      <c r="L139" s="115"/>
    </row>
    <row r="140" spans="3:12" ht="27" customHeight="1">
      <c r="C140" s="113"/>
      <c r="D140" s="113"/>
      <c r="E140" s="113"/>
      <c r="F140" s="114"/>
      <c r="G140" s="114"/>
      <c r="H140" s="115"/>
      <c r="I140" s="116"/>
      <c r="J140" s="116"/>
      <c r="K140" s="114"/>
      <c r="L140" s="115"/>
    </row>
    <row r="141" spans="3:12" ht="27" customHeight="1">
      <c r="C141" s="113"/>
      <c r="D141" s="113"/>
      <c r="E141" s="113"/>
      <c r="F141" s="114"/>
      <c r="G141" s="114"/>
      <c r="H141" s="115"/>
      <c r="I141" s="116"/>
      <c r="J141" s="116"/>
      <c r="K141" s="114"/>
      <c r="L141" s="115"/>
    </row>
    <row r="142" spans="3:12" ht="27" customHeight="1">
      <c r="C142" s="113"/>
      <c r="D142" s="113"/>
      <c r="E142" s="113"/>
      <c r="F142" s="114"/>
      <c r="G142" s="114"/>
      <c r="H142" s="115"/>
      <c r="I142" s="116"/>
      <c r="J142" s="116"/>
      <c r="K142" s="114"/>
      <c r="L142" s="115"/>
    </row>
    <row r="143" spans="3:12" ht="27" customHeight="1">
      <c r="C143" s="113"/>
      <c r="D143" s="113"/>
      <c r="E143" s="113"/>
      <c r="F143" s="114"/>
      <c r="G143" s="114"/>
      <c r="H143" s="115"/>
      <c r="I143" s="116"/>
      <c r="J143" s="116"/>
      <c r="K143" s="114"/>
      <c r="L143" s="115"/>
    </row>
    <row r="144" spans="3:12" ht="27" customHeight="1">
      <c r="C144" s="113"/>
      <c r="D144" s="113"/>
      <c r="E144" s="113"/>
      <c r="F144" s="114"/>
      <c r="G144" s="114"/>
      <c r="H144" s="115"/>
      <c r="I144" s="116"/>
      <c r="J144" s="116"/>
      <c r="K144" s="114"/>
      <c r="L144" s="115"/>
    </row>
    <row r="145" spans="3:12" ht="27" customHeight="1">
      <c r="C145" s="113"/>
      <c r="D145" s="113"/>
      <c r="E145" s="113"/>
      <c r="F145" s="114"/>
      <c r="G145" s="114"/>
      <c r="H145" s="115"/>
      <c r="I145" s="116"/>
      <c r="J145" s="116"/>
      <c r="K145" s="114"/>
      <c r="L145" s="115"/>
    </row>
    <row r="146" spans="3:12" ht="27" customHeight="1">
      <c r="C146" s="113"/>
      <c r="D146" s="113"/>
      <c r="E146" s="113"/>
      <c r="F146" s="114"/>
      <c r="G146" s="114"/>
      <c r="H146" s="115"/>
      <c r="I146" s="116"/>
      <c r="J146" s="116"/>
      <c r="K146" s="114"/>
      <c r="L146" s="115"/>
    </row>
    <row r="147" spans="3:12" ht="27" customHeight="1">
      <c r="C147" s="113"/>
      <c r="D147" s="113"/>
      <c r="E147" s="113"/>
      <c r="F147" s="114"/>
      <c r="G147" s="114"/>
      <c r="H147" s="115"/>
      <c r="I147" s="116"/>
      <c r="J147" s="116"/>
      <c r="K147" s="114"/>
      <c r="L147" s="115"/>
    </row>
    <row r="148" spans="3:12" ht="27" customHeight="1">
      <c r="C148" s="113"/>
      <c r="D148" s="113"/>
      <c r="E148" s="113"/>
      <c r="F148" s="114"/>
      <c r="G148" s="114"/>
      <c r="H148" s="115"/>
      <c r="I148" s="116"/>
      <c r="J148" s="116"/>
      <c r="K148" s="114"/>
      <c r="L148" s="115"/>
    </row>
    <row r="149" spans="3:12" ht="27" customHeight="1">
      <c r="C149" s="113"/>
      <c r="D149" s="113"/>
      <c r="E149" s="113"/>
      <c r="F149" s="114"/>
      <c r="G149" s="114"/>
      <c r="H149" s="115"/>
      <c r="I149" s="116"/>
      <c r="J149" s="116"/>
      <c r="K149" s="114"/>
      <c r="L149" s="115"/>
    </row>
    <row r="150" spans="3:12" ht="27" customHeight="1">
      <c r="C150" s="113"/>
      <c r="D150" s="113"/>
      <c r="E150" s="113"/>
      <c r="F150" s="114"/>
      <c r="G150" s="114"/>
      <c r="H150" s="115"/>
      <c r="I150" s="116"/>
      <c r="J150" s="116"/>
      <c r="K150" s="114"/>
      <c r="L150" s="115"/>
    </row>
    <row r="151" spans="3:12" ht="27" customHeight="1">
      <c r="C151" s="113"/>
      <c r="D151" s="113"/>
      <c r="E151" s="113"/>
      <c r="F151" s="114"/>
      <c r="G151" s="114"/>
      <c r="H151" s="115"/>
      <c r="I151" s="116"/>
      <c r="J151" s="116"/>
      <c r="K151" s="114"/>
      <c r="L151" s="115"/>
    </row>
    <row r="152" spans="3:12" ht="27" customHeight="1">
      <c r="C152" s="113"/>
      <c r="D152" s="113"/>
      <c r="E152" s="113"/>
      <c r="F152" s="114"/>
      <c r="G152" s="114"/>
      <c r="H152" s="115"/>
      <c r="I152" s="116"/>
      <c r="J152" s="116"/>
      <c r="K152" s="114"/>
      <c r="L152" s="115"/>
    </row>
    <row r="153" spans="3:12" ht="27" customHeight="1">
      <c r="C153" s="113"/>
      <c r="D153" s="113"/>
      <c r="E153" s="113"/>
      <c r="F153" s="114"/>
      <c r="G153" s="114"/>
      <c r="H153" s="115"/>
      <c r="I153" s="116"/>
      <c r="J153" s="116"/>
      <c r="K153" s="114"/>
      <c r="L153" s="115"/>
    </row>
    <row r="154" spans="3:12" ht="27" customHeight="1">
      <c r="C154" s="113"/>
      <c r="D154" s="113"/>
      <c r="E154" s="113"/>
      <c r="F154" s="114"/>
      <c r="G154" s="114"/>
      <c r="H154" s="115"/>
      <c r="I154" s="116"/>
      <c r="J154" s="116"/>
      <c r="K154" s="114"/>
      <c r="L154" s="115"/>
    </row>
    <row r="155" spans="3:12" ht="27" customHeight="1">
      <c r="C155" s="113"/>
      <c r="D155" s="113"/>
      <c r="E155" s="113"/>
      <c r="F155" s="114"/>
      <c r="G155" s="114"/>
      <c r="H155" s="115"/>
      <c r="I155" s="116"/>
      <c r="J155" s="116"/>
      <c r="K155" s="114"/>
      <c r="L155" s="115"/>
    </row>
    <row r="156" spans="3:12" ht="27" customHeight="1">
      <c r="C156" s="113"/>
      <c r="D156" s="113"/>
      <c r="E156" s="113"/>
      <c r="F156" s="114"/>
      <c r="G156" s="114"/>
      <c r="H156" s="115"/>
      <c r="I156" s="116"/>
      <c r="J156" s="116"/>
      <c r="K156" s="114"/>
      <c r="L156" s="115"/>
    </row>
    <row r="157" spans="3:12" ht="27" customHeight="1">
      <c r="C157" s="113"/>
      <c r="D157" s="113"/>
      <c r="E157" s="113"/>
      <c r="F157" s="114"/>
      <c r="G157" s="114"/>
      <c r="H157" s="115"/>
      <c r="I157" s="116"/>
      <c r="J157" s="116"/>
      <c r="K157" s="114"/>
      <c r="L157" s="115"/>
    </row>
    <row r="158" spans="3:12" ht="27" customHeight="1">
      <c r="C158" s="113"/>
      <c r="D158" s="113"/>
      <c r="E158" s="113"/>
      <c r="F158" s="114"/>
      <c r="G158" s="114"/>
      <c r="H158" s="115"/>
      <c r="I158" s="116"/>
      <c r="J158" s="116"/>
      <c r="K158" s="114"/>
      <c r="L158" s="115"/>
    </row>
    <row r="159" spans="3:12" ht="27" customHeight="1">
      <c r="C159" s="113"/>
      <c r="D159" s="113"/>
      <c r="E159" s="113"/>
      <c r="F159" s="114"/>
      <c r="G159" s="114"/>
      <c r="H159" s="115"/>
      <c r="I159" s="116"/>
      <c r="J159" s="116"/>
      <c r="K159" s="114"/>
      <c r="L159" s="115"/>
    </row>
    <row r="160" spans="3:12" ht="27" customHeight="1">
      <c r="C160" s="113"/>
      <c r="D160" s="113"/>
      <c r="E160" s="113"/>
      <c r="F160" s="114"/>
      <c r="G160" s="114"/>
      <c r="H160" s="115"/>
      <c r="I160" s="116"/>
      <c r="J160" s="116"/>
      <c r="K160" s="114"/>
      <c r="L160" s="115"/>
    </row>
    <row r="161" spans="3:12" ht="27" customHeight="1">
      <c r="C161" s="113"/>
      <c r="D161" s="113"/>
      <c r="E161" s="113"/>
      <c r="F161" s="114"/>
      <c r="G161" s="114"/>
      <c r="H161" s="115"/>
      <c r="I161" s="116"/>
      <c r="J161" s="116"/>
      <c r="K161" s="114"/>
      <c r="L161" s="115"/>
    </row>
    <row r="162" spans="3:12" ht="27" customHeight="1">
      <c r="C162" s="113"/>
      <c r="D162" s="113"/>
      <c r="E162" s="113"/>
      <c r="F162" s="114"/>
      <c r="G162" s="114"/>
      <c r="H162" s="115"/>
      <c r="I162" s="116"/>
      <c r="J162" s="116"/>
      <c r="K162" s="114"/>
      <c r="L162" s="115"/>
    </row>
    <row r="163" spans="3:12" ht="27" customHeight="1">
      <c r="C163" s="113"/>
      <c r="D163" s="113"/>
      <c r="E163" s="113"/>
      <c r="F163" s="114"/>
      <c r="G163" s="114"/>
      <c r="H163" s="115"/>
      <c r="I163" s="116"/>
      <c r="J163" s="116"/>
      <c r="K163" s="114"/>
      <c r="L163" s="115"/>
    </row>
    <row r="164" spans="3:12" ht="27" customHeight="1">
      <c r="C164" s="113"/>
      <c r="D164" s="113"/>
      <c r="E164" s="113"/>
      <c r="F164" s="114"/>
      <c r="G164" s="114"/>
      <c r="H164" s="115"/>
      <c r="I164" s="116"/>
      <c r="J164" s="116"/>
      <c r="K164" s="114"/>
      <c r="L164" s="115"/>
    </row>
    <row r="165" spans="3:12" ht="27" customHeight="1">
      <c r="C165" s="113"/>
      <c r="D165" s="113"/>
      <c r="E165" s="113"/>
      <c r="F165" s="114"/>
      <c r="G165" s="114"/>
      <c r="H165" s="115"/>
      <c r="I165" s="116"/>
      <c r="J165" s="116"/>
      <c r="K165" s="114"/>
      <c r="L165" s="115"/>
    </row>
    <row r="166" spans="3:12" ht="27" customHeight="1">
      <c r="C166" s="113"/>
      <c r="D166" s="113"/>
      <c r="E166" s="113"/>
      <c r="F166" s="114"/>
      <c r="G166" s="114"/>
      <c r="H166" s="115"/>
      <c r="I166" s="116"/>
      <c r="J166" s="116"/>
      <c r="K166" s="114"/>
      <c r="L166" s="115"/>
    </row>
    <row r="167" spans="3:12" ht="27" customHeight="1">
      <c r="C167" s="113"/>
      <c r="D167" s="113"/>
      <c r="E167" s="113"/>
      <c r="F167" s="114"/>
      <c r="G167" s="114"/>
      <c r="H167" s="115"/>
      <c r="I167" s="116"/>
      <c r="J167" s="116"/>
      <c r="K167" s="114"/>
      <c r="L167" s="115"/>
    </row>
    <row r="168" spans="3:12" ht="27" customHeight="1">
      <c r="C168" s="113"/>
      <c r="D168" s="113"/>
      <c r="E168" s="113"/>
      <c r="F168" s="114"/>
      <c r="G168" s="114"/>
      <c r="H168" s="115"/>
      <c r="I168" s="116"/>
      <c r="J168" s="116"/>
      <c r="K168" s="114"/>
      <c r="L168" s="115"/>
    </row>
    <row r="169" spans="3:12" ht="27" customHeight="1">
      <c r="C169" s="113"/>
      <c r="D169" s="113"/>
      <c r="E169" s="113"/>
      <c r="F169" s="114"/>
      <c r="G169" s="114"/>
      <c r="H169" s="115"/>
      <c r="I169" s="116"/>
      <c r="J169" s="116"/>
      <c r="K169" s="114"/>
      <c r="L169" s="115"/>
    </row>
    <row r="170" spans="3:12" ht="27" customHeight="1">
      <c r="C170" s="113"/>
      <c r="D170" s="113"/>
      <c r="E170" s="113"/>
      <c r="F170" s="114"/>
      <c r="G170" s="114"/>
      <c r="H170" s="115"/>
      <c r="I170" s="116"/>
      <c r="J170" s="116"/>
      <c r="K170" s="114"/>
      <c r="L170" s="115"/>
    </row>
    <row r="171" spans="3:12" ht="27" customHeight="1">
      <c r="C171" s="113"/>
      <c r="D171" s="113"/>
      <c r="E171" s="113"/>
      <c r="F171" s="114"/>
      <c r="G171" s="114"/>
      <c r="H171" s="115"/>
      <c r="I171" s="116"/>
      <c r="J171" s="116"/>
      <c r="K171" s="114"/>
      <c r="L171" s="115"/>
    </row>
    <row r="172" spans="3:12" ht="27" customHeight="1">
      <c r="C172" s="113"/>
      <c r="D172" s="113"/>
      <c r="E172" s="113"/>
      <c r="F172" s="114"/>
      <c r="G172" s="114"/>
      <c r="H172" s="115"/>
      <c r="I172" s="116"/>
      <c r="J172" s="116"/>
      <c r="K172" s="114"/>
      <c r="L172" s="115"/>
    </row>
    <row r="173" spans="3:12" ht="27" customHeight="1">
      <c r="C173" s="113"/>
      <c r="D173" s="113"/>
      <c r="E173" s="113"/>
      <c r="F173" s="114"/>
      <c r="G173" s="114"/>
      <c r="H173" s="115"/>
      <c r="I173" s="116"/>
      <c r="J173" s="116"/>
      <c r="K173" s="114"/>
      <c r="L173" s="115"/>
    </row>
    <row r="174" spans="3:12" ht="27" customHeight="1">
      <c r="C174" s="113"/>
      <c r="D174" s="113"/>
      <c r="E174" s="113"/>
      <c r="F174" s="114"/>
      <c r="G174" s="114"/>
      <c r="H174" s="115"/>
      <c r="I174" s="116"/>
      <c r="J174" s="116"/>
      <c r="K174" s="114"/>
      <c r="L174" s="115"/>
    </row>
    <row r="175" spans="3:12" ht="27" customHeight="1">
      <c r="C175" s="113"/>
      <c r="D175" s="113"/>
      <c r="E175" s="113"/>
      <c r="F175" s="114"/>
      <c r="G175" s="114"/>
      <c r="H175" s="115"/>
      <c r="I175" s="116"/>
      <c r="J175" s="116"/>
      <c r="K175" s="114"/>
      <c r="L175" s="115"/>
    </row>
    <row r="176" spans="3:12" ht="27" customHeight="1">
      <c r="C176" s="113"/>
      <c r="D176" s="113"/>
      <c r="E176" s="113"/>
      <c r="F176" s="114"/>
      <c r="G176" s="114"/>
      <c r="H176" s="115"/>
      <c r="I176" s="116"/>
      <c r="J176" s="116"/>
      <c r="K176" s="114"/>
      <c r="L176" s="115"/>
    </row>
    <row r="177" spans="3:12" ht="27" customHeight="1">
      <c r="C177" s="113"/>
      <c r="D177" s="113"/>
      <c r="E177" s="113"/>
      <c r="F177" s="114"/>
      <c r="G177" s="114"/>
      <c r="H177" s="115"/>
      <c r="I177" s="116"/>
      <c r="J177" s="116"/>
      <c r="K177" s="114"/>
      <c r="L177" s="115"/>
    </row>
    <row r="178" spans="3:12" ht="27" customHeight="1">
      <c r="C178" s="113"/>
      <c r="D178" s="113"/>
      <c r="E178" s="113"/>
      <c r="F178" s="114"/>
      <c r="G178" s="114"/>
      <c r="H178" s="115"/>
      <c r="I178" s="116"/>
      <c r="J178" s="116"/>
      <c r="K178" s="114"/>
      <c r="L178" s="115"/>
    </row>
    <row r="179" spans="3:12" ht="27" customHeight="1">
      <c r="C179" s="113"/>
      <c r="D179" s="113"/>
      <c r="E179" s="113"/>
      <c r="F179" s="114"/>
      <c r="G179" s="114"/>
      <c r="H179" s="115"/>
      <c r="I179" s="116"/>
      <c r="J179" s="116"/>
      <c r="K179" s="114"/>
      <c r="L179" s="115"/>
    </row>
    <row r="180" spans="3:12" ht="27" customHeight="1">
      <c r="C180" s="113"/>
      <c r="D180" s="113"/>
      <c r="E180" s="113"/>
      <c r="F180" s="114"/>
      <c r="G180" s="114"/>
      <c r="H180" s="115"/>
      <c r="I180" s="116"/>
      <c r="J180" s="116"/>
      <c r="K180" s="114"/>
      <c r="L180" s="115"/>
    </row>
    <row r="181" spans="3:12" ht="27" customHeight="1">
      <c r="C181" s="113"/>
      <c r="D181" s="113"/>
      <c r="E181" s="113"/>
      <c r="F181" s="114"/>
      <c r="G181" s="114"/>
      <c r="H181" s="115"/>
      <c r="I181" s="116"/>
      <c r="J181" s="116"/>
      <c r="K181" s="114"/>
      <c r="L181" s="115"/>
    </row>
    <row r="182" spans="3:12" ht="27" customHeight="1">
      <c r="C182" s="113"/>
      <c r="D182" s="113"/>
      <c r="E182" s="113"/>
      <c r="F182" s="114"/>
      <c r="G182" s="114"/>
      <c r="H182" s="115"/>
      <c r="I182" s="116"/>
      <c r="J182" s="116"/>
      <c r="K182" s="114"/>
      <c r="L182" s="115"/>
    </row>
    <row r="183" spans="3:12" ht="27" customHeight="1">
      <c r="C183" s="113"/>
    </row>
    <row r="184" spans="3:12" ht="27" customHeight="1">
      <c r="C184" s="113"/>
    </row>
    <row r="185" spans="3:12" ht="27" customHeight="1">
      <c r="C185" s="113"/>
    </row>
    <row r="186" spans="3:12" ht="27" customHeight="1">
      <c r="C186" s="113"/>
    </row>
    <row r="187" spans="3:12" ht="27" customHeight="1">
      <c r="C187" s="113"/>
    </row>
    <row r="188" spans="3:12" ht="27" customHeight="1">
      <c r="C188" s="113"/>
    </row>
    <row r="189" spans="3:12" ht="27" customHeight="1"/>
    <row r="190" spans="3:12" ht="27" customHeight="1"/>
    <row r="191" spans="3:12" ht="27" customHeight="1"/>
    <row r="192" spans="3:12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7" customHeight="1"/>
    <row r="251" ht="27" customHeight="1"/>
    <row r="252" ht="27" customHeight="1"/>
    <row r="253" ht="27" customHeight="1"/>
    <row r="254" ht="27" customHeight="1"/>
    <row r="255" ht="27" customHeight="1"/>
    <row r="256" ht="27" customHeight="1"/>
    <row r="257" ht="27" customHeight="1"/>
    <row r="258" ht="27" customHeight="1"/>
    <row r="259" ht="27" customHeight="1"/>
    <row r="260" ht="27" customHeight="1"/>
    <row r="261" ht="27" customHeight="1"/>
    <row r="262" ht="27" customHeight="1"/>
    <row r="263" ht="27" customHeight="1"/>
    <row r="264" ht="27" customHeight="1"/>
    <row r="265" ht="27" customHeight="1"/>
    <row r="266" ht="27" customHeight="1"/>
    <row r="267" ht="27" customHeight="1"/>
    <row r="268" ht="27" customHeight="1"/>
    <row r="269" ht="27" customHeight="1"/>
    <row r="270" ht="27" customHeight="1"/>
    <row r="271" ht="27" customHeight="1"/>
    <row r="272" ht="27" customHeight="1"/>
    <row r="273" ht="27" customHeight="1"/>
    <row r="274" ht="27" customHeight="1"/>
    <row r="275" ht="27" customHeight="1"/>
    <row r="276" ht="27" customHeight="1"/>
    <row r="277" ht="27" customHeight="1"/>
    <row r="278" ht="27" customHeight="1"/>
    <row r="279" ht="27" customHeight="1"/>
    <row r="280" ht="27" customHeight="1"/>
    <row r="281" ht="27" customHeight="1"/>
    <row r="282" ht="27" customHeight="1"/>
    <row r="283" ht="27" customHeight="1"/>
    <row r="284" ht="27" customHeight="1"/>
    <row r="285" ht="27" customHeight="1"/>
    <row r="286" ht="27" customHeight="1"/>
    <row r="287" ht="27" customHeight="1"/>
    <row r="288" ht="27" customHeight="1"/>
    <row r="289" ht="27" customHeight="1"/>
    <row r="290" ht="27" customHeight="1"/>
    <row r="291" ht="27" customHeight="1"/>
    <row r="292" ht="27" customHeight="1"/>
    <row r="293" ht="27" customHeight="1"/>
    <row r="294" ht="27" customHeight="1"/>
    <row r="295" ht="27" customHeight="1"/>
    <row r="296" ht="27" customHeight="1"/>
    <row r="297" ht="27" customHeight="1"/>
    <row r="298" ht="27" customHeight="1"/>
    <row r="299" ht="27" customHeight="1"/>
    <row r="300" ht="27" customHeight="1"/>
    <row r="301" ht="27" customHeight="1"/>
    <row r="302" ht="27" customHeight="1"/>
    <row r="303" ht="27" customHeight="1"/>
    <row r="304" ht="27" customHeight="1"/>
    <row r="305" ht="27" customHeight="1"/>
    <row r="306" ht="27" customHeight="1"/>
    <row r="307" ht="27" customHeight="1"/>
    <row r="308" ht="27" customHeight="1"/>
    <row r="309" ht="27" customHeight="1"/>
    <row r="310" ht="27" customHeight="1"/>
    <row r="311" ht="27" customHeight="1"/>
    <row r="312" ht="27" customHeight="1"/>
    <row r="313" ht="27" customHeight="1"/>
    <row r="314" ht="27" customHeight="1"/>
    <row r="315" ht="27" customHeight="1"/>
    <row r="316" ht="27" customHeight="1"/>
    <row r="317" ht="27" customHeight="1"/>
    <row r="318" ht="27" customHeight="1"/>
    <row r="319" ht="27" customHeight="1"/>
    <row r="320" ht="27" customHeight="1"/>
    <row r="321" ht="27" customHeight="1"/>
    <row r="322" ht="27" customHeight="1"/>
    <row r="323" ht="27" customHeight="1"/>
    <row r="324" ht="27" customHeight="1"/>
    <row r="325" ht="27" customHeight="1"/>
    <row r="326" ht="27" customHeight="1"/>
    <row r="327" ht="27" customHeight="1"/>
    <row r="328" ht="27" customHeight="1"/>
    <row r="329" ht="27" customHeight="1"/>
    <row r="330" ht="27" customHeight="1"/>
    <row r="331" ht="27" customHeight="1"/>
    <row r="332" ht="27" customHeight="1"/>
    <row r="333" ht="27" customHeight="1"/>
    <row r="334" ht="27" customHeight="1"/>
    <row r="335" ht="27" customHeight="1"/>
    <row r="336" ht="27" customHeight="1"/>
    <row r="337" ht="27" customHeight="1"/>
    <row r="338" ht="27" customHeight="1"/>
    <row r="339" ht="27" customHeight="1"/>
    <row r="340" ht="27" customHeight="1"/>
    <row r="341" ht="27" customHeight="1"/>
    <row r="342" ht="27" customHeight="1"/>
    <row r="343" ht="27" customHeight="1"/>
    <row r="344" ht="27" customHeight="1"/>
    <row r="345" ht="27" customHeight="1"/>
    <row r="346" ht="27" customHeight="1"/>
    <row r="347" ht="27" customHeight="1"/>
    <row r="348" ht="27" customHeight="1"/>
    <row r="349" ht="27" customHeight="1"/>
    <row r="350" ht="27" customHeight="1"/>
    <row r="351" ht="27" customHeight="1"/>
    <row r="352" ht="27" customHeight="1"/>
    <row r="353" ht="27" customHeight="1"/>
    <row r="354" ht="27" customHeight="1"/>
    <row r="355" ht="27" customHeight="1"/>
    <row r="356" ht="27" customHeight="1"/>
    <row r="357" ht="27" customHeight="1"/>
    <row r="358" ht="27" customHeight="1"/>
    <row r="359" ht="27" customHeight="1"/>
    <row r="360" ht="27" customHeight="1"/>
    <row r="361" ht="27" customHeight="1"/>
    <row r="362" ht="27" customHeight="1"/>
    <row r="363" ht="27" customHeight="1"/>
    <row r="364" ht="27" customHeight="1"/>
    <row r="365" ht="27" customHeight="1"/>
    <row r="366" ht="27" customHeight="1"/>
    <row r="367" ht="27" customHeight="1"/>
    <row r="368" ht="27" customHeight="1"/>
    <row r="369" ht="27" customHeight="1"/>
    <row r="370" ht="27" customHeight="1"/>
    <row r="371" ht="27" customHeight="1"/>
    <row r="372" ht="27" customHeight="1"/>
    <row r="373" ht="27" customHeight="1"/>
    <row r="374" ht="27" customHeight="1"/>
    <row r="375" ht="27" customHeight="1"/>
    <row r="376" ht="27" customHeight="1"/>
    <row r="377" ht="27" customHeight="1"/>
    <row r="378" ht="27" customHeight="1"/>
    <row r="379" ht="27" customHeight="1"/>
    <row r="380" ht="27" customHeight="1"/>
    <row r="381" ht="27" customHeight="1"/>
    <row r="382" ht="27" customHeight="1"/>
    <row r="383" ht="27" customHeight="1"/>
    <row r="384" ht="27" customHeight="1"/>
    <row r="385" ht="27" customHeight="1"/>
    <row r="386" ht="27" customHeight="1"/>
    <row r="387" ht="27" customHeight="1"/>
    <row r="388" ht="27" customHeight="1"/>
    <row r="389" ht="27" customHeight="1"/>
    <row r="390" ht="27" customHeight="1"/>
    <row r="391" ht="27" customHeight="1"/>
    <row r="392" ht="27" customHeight="1"/>
    <row r="393" ht="27" customHeight="1"/>
    <row r="394" ht="27" customHeight="1"/>
    <row r="395" ht="27" customHeight="1"/>
    <row r="396" ht="27" customHeight="1"/>
    <row r="397" ht="27" customHeight="1"/>
    <row r="398" ht="27" customHeight="1"/>
    <row r="399" ht="27" customHeight="1"/>
    <row r="400" ht="27" customHeight="1"/>
    <row r="401" ht="27" customHeight="1"/>
    <row r="402" ht="27" customHeight="1"/>
    <row r="403" ht="27" customHeight="1"/>
    <row r="404" ht="27" customHeight="1"/>
    <row r="405" ht="27" customHeight="1"/>
    <row r="406" ht="27" customHeight="1"/>
    <row r="407" ht="27" customHeight="1"/>
    <row r="408" ht="27" customHeight="1"/>
    <row r="409" ht="27" customHeight="1"/>
    <row r="410" ht="27" customHeight="1"/>
    <row r="411" ht="27" customHeight="1"/>
    <row r="412" ht="27" customHeight="1"/>
    <row r="413" ht="27" customHeight="1"/>
    <row r="414" ht="27" customHeight="1"/>
    <row r="415" ht="27" customHeight="1"/>
    <row r="416" ht="27" customHeight="1"/>
    <row r="417" ht="27" customHeight="1"/>
    <row r="418" ht="27" customHeight="1"/>
    <row r="419" ht="27" customHeight="1"/>
    <row r="420" ht="27" customHeight="1"/>
    <row r="421" ht="27" customHeight="1"/>
    <row r="422" ht="27" customHeight="1"/>
    <row r="423" ht="27" customHeight="1"/>
    <row r="424" ht="27" customHeight="1"/>
    <row r="425" ht="27" customHeight="1"/>
    <row r="426" ht="27" customHeight="1"/>
    <row r="427" ht="27" customHeight="1"/>
    <row r="428" ht="27" customHeight="1"/>
    <row r="429" ht="27" customHeight="1"/>
    <row r="430" ht="27" customHeight="1"/>
    <row r="431" ht="27" customHeight="1"/>
    <row r="432" ht="27" customHeight="1"/>
    <row r="433" ht="27" customHeight="1"/>
    <row r="434" ht="27" customHeight="1"/>
    <row r="435" ht="27" customHeight="1"/>
    <row r="436" ht="27" customHeight="1"/>
    <row r="437" ht="27" customHeight="1"/>
    <row r="438" ht="27" customHeight="1"/>
    <row r="439" ht="27" customHeight="1"/>
    <row r="440" ht="27" customHeight="1"/>
    <row r="441" ht="27" customHeight="1"/>
    <row r="442" ht="27" customHeight="1"/>
    <row r="443" ht="27" customHeight="1"/>
    <row r="444" ht="27" customHeight="1"/>
    <row r="445" ht="27" customHeight="1"/>
    <row r="446" ht="27" customHeight="1"/>
    <row r="447" ht="27" customHeight="1"/>
    <row r="448" ht="27" customHeight="1"/>
    <row r="449" ht="27" customHeight="1"/>
    <row r="450" ht="27" customHeight="1"/>
    <row r="451" ht="27" customHeight="1"/>
    <row r="452" ht="27" customHeight="1"/>
    <row r="453" ht="27" customHeight="1"/>
    <row r="454" ht="27" customHeight="1"/>
    <row r="455" ht="27" customHeight="1"/>
    <row r="456" ht="27" customHeight="1"/>
    <row r="457" ht="27" customHeight="1"/>
    <row r="458" ht="27" customHeight="1"/>
    <row r="459" ht="27" customHeight="1"/>
    <row r="460" ht="27" customHeight="1"/>
    <row r="461" ht="27" customHeight="1"/>
    <row r="462" ht="27" customHeight="1"/>
    <row r="463" ht="27" customHeight="1"/>
    <row r="464" ht="27" customHeight="1"/>
    <row r="465" ht="27" customHeight="1"/>
    <row r="466" ht="27" customHeight="1"/>
    <row r="467" ht="27" customHeight="1"/>
    <row r="468" ht="27" customHeight="1"/>
    <row r="469" ht="27" customHeight="1"/>
    <row r="470" ht="27" customHeight="1"/>
    <row r="471" ht="27" customHeight="1"/>
    <row r="472" ht="27" customHeight="1"/>
    <row r="473" ht="27" customHeight="1"/>
    <row r="474" ht="27" customHeight="1"/>
    <row r="475" ht="27" customHeight="1"/>
    <row r="476" ht="27" customHeight="1"/>
    <row r="477" ht="27" customHeight="1"/>
    <row r="478" ht="27" customHeight="1"/>
    <row r="479" ht="27" customHeight="1"/>
    <row r="480" ht="27" customHeight="1"/>
    <row r="481" ht="27" customHeight="1"/>
    <row r="482" ht="27" customHeight="1"/>
    <row r="483" ht="27" customHeight="1"/>
    <row r="484" ht="27" customHeight="1"/>
    <row r="485" ht="27" customHeight="1"/>
    <row r="486" ht="27" customHeight="1"/>
    <row r="487" ht="27" customHeight="1"/>
    <row r="488" ht="27" customHeight="1"/>
    <row r="489" ht="27" customHeight="1"/>
    <row r="490" ht="27" customHeight="1"/>
    <row r="491" ht="27" customHeight="1"/>
    <row r="492" ht="27" customHeight="1"/>
    <row r="493" ht="27" customHeight="1"/>
    <row r="494" ht="27" customHeight="1"/>
    <row r="495" ht="27" customHeight="1"/>
    <row r="496" ht="27" customHeight="1"/>
    <row r="497" ht="27" customHeight="1"/>
    <row r="498" ht="27" customHeight="1"/>
    <row r="499" ht="27" customHeight="1"/>
    <row r="500" ht="27" customHeight="1"/>
    <row r="501" ht="27" customHeight="1"/>
    <row r="502" ht="27" customHeight="1"/>
    <row r="503" ht="27" customHeight="1"/>
    <row r="504" ht="27" customHeight="1"/>
    <row r="505" ht="27" customHeight="1"/>
  </sheetData>
  <mergeCells count="46">
    <mergeCell ref="N14:N15"/>
    <mergeCell ref="N16:N17"/>
    <mergeCell ref="N18:N19"/>
    <mergeCell ref="O34:O35"/>
    <mergeCell ref="N26:N27"/>
    <mergeCell ref="O26:O27"/>
    <mergeCell ref="N32:N33"/>
    <mergeCell ref="O32:O33"/>
    <mergeCell ref="N34:N35"/>
    <mergeCell ref="N36:N37"/>
    <mergeCell ref="N42:N43"/>
    <mergeCell ref="N24:N25"/>
    <mergeCell ref="O24:O25"/>
    <mergeCell ref="B2:P3"/>
    <mergeCell ref="N20:N21"/>
    <mergeCell ref="O20:O21"/>
    <mergeCell ref="N22:N23"/>
    <mergeCell ref="O22:O23"/>
    <mergeCell ref="N12:N13"/>
    <mergeCell ref="O12:O13"/>
    <mergeCell ref="N10:N11"/>
    <mergeCell ref="O10:O11"/>
    <mergeCell ref="O14:O15"/>
    <mergeCell ref="O16:O17"/>
    <mergeCell ref="O18:O19"/>
    <mergeCell ref="N54:N55"/>
    <mergeCell ref="N50:N51"/>
    <mergeCell ref="N52:N53"/>
    <mergeCell ref="N48:N49"/>
    <mergeCell ref="N44:N45"/>
    <mergeCell ref="N72:N73"/>
    <mergeCell ref="N28:N29"/>
    <mergeCell ref="O28:O29"/>
    <mergeCell ref="N30:N31"/>
    <mergeCell ref="O30:O31"/>
    <mergeCell ref="N70:N71"/>
    <mergeCell ref="N68:N69"/>
    <mergeCell ref="N66:N67"/>
    <mergeCell ref="N38:N39"/>
    <mergeCell ref="N40:N41"/>
    <mergeCell ref="N64:N65"/>
    <mergeCell ref="N62:N63"/>
    <mergeCell ref="N56:N57"/>
    <mergeCell ref="N60:N61"/>
    <mergeCell ref="N58:N59"/>
    <mergeCell ref="N46:N47"/>
  </mergeCells>
  <phoneticPr fontId="2" type="noConversion"/>
  <conditionalFormatting sqref="O12 O14 O16 O18">
    <cfRule type="duplicateValues" dxfId="19" priority="17"/>
  </conditionalFormatting>
  <conditionalFormatting sqref="O36">
    <cfRule type="duplicateValues" dxfId="18" priority="18"/>
  </conditionalFormatting>
  <conditionalFormatting sqref="O38">
    <cfRule type="duplicateValues" dxfId="17" priority="4"/>
  </conditionalFormatting>
  <conditionalFormatting sqref="O44">
    <cfRule type="duplicateValues" dxfId="16" priority="16"/>
  </conditionalFormatting>
  <conditionalFormatting sqref="O48">
    <cfRule type="duplicateValues" dxfId="15" priority="12"/>
  </conditionalFormatting>
  <conditionalFormatting sqref="O50">
    <cfRule type="duplicateValues" dxfId="14" priority="11"/>
  </conditionalFormatting>
  <conditionalFormatting sqref="O52">
    <cfRule type="duplicateValues" dxfId="13" priority="15"/>
  </conditionalFormatting>
  <conditionalFormatting sqref="O54">
    <cfRule type="duplicateValues" dxfId="12" priority="10"/>
  </conditionalFormatting>
  <conditionalFormatting sqref="O56">
    <cfRule type="duplicateValues" dxfId="11" priority="9"/>
  </conditionalFormatting>
  <conditionalFormatting sqref="O58">
    <cfRule type="duplicateValues" dxfId="10" priority="1"/>
  </conditionalFormatting>
  <conditionalFormatting sqref="O64">
    <cfRule type="duplicateValues" dxfId="9" priority="8"/>
  </conditionalFormatting>
  <conditionalFormatting sqref="O68">
    <cfRule type="duplicateValues" dxfId="8" priority="13"/>
  </conditionalFormatting>
  <conditionalFormatting sqref="O70">
    <cfRule type="duplicateValues" dxfId="7" priority="14"/>
  </conditionalFormatting>
  <conditionalFormatting sqref="O72">
    <cfRule type="duplicateValues" dxfId="6" priority="6"/>
  </conditionalFormatting>
  <conditionalFormatting sqref="O74">
    <cfRule type="duplicateValues" dxfId="5" priority="7"/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4"/>
  </sheetPr>
  <dimension ref="A1:J410"/>
  <sheetViews>
    <sheetView zoomScale="85" zoomScaleNormal="85" workbookViewId="0"/>
  </sheetViews>
  <sheetFormatPr defaultRowHeight="16.5"/>
  <cols>
    <col min="1" max="1" width="33.375" customWidth="1"/>
    <col min="2" max="2" width="34.5" bestFit="1" customWidth="1"/>
    <col min="3" max="3" width="18.75" bestFit="1" customWidth="1"/>
    <col min="9" max="9" width="26.25" style="34" bestFit="1" customWidth="1"/>
    <col min="10" max="10" width="26" bestFit="1" customWidth="1"/>
  </cols>
  <sheetData>
    <row r="1" spans="1:10">
      <c r="A1" t="s">
        <v>25</v>
      </c>
      <c r="B1" t="s">
        <v>20</v>
      </c>
      <c r="C1" t="s">
        <v>21</v>
      </c>
      <c r="D1" t="s">
        <v>22</v>
      </c>
      <c r="E1" t="s">
        <v>23</v>
      </c>
      <c r="F1" t="s">
        <v>425</v>
      </c>
      <c r="G1" t="s">
        <v>24</v>
      </c>
      <c r="I1" s="121" t="s">
        <v>77</v>
      </c>
      <c r="J1" s="121" t="s">
        <v>78</v>
      </c>
    </row>
    <row r="2" spans="1:10">
      <c r="A2" t="s">
        <v>495</v>
      </c>
      <c r="B2" t="s">
        <v>565</v>
      </c>
      <c r="C2" t="s">
        <v>541</v>
      </c>
      <c r="D2">
        <v>488</v>
      </c>
      <c r="E2">
        <v>19</v>
      </c>
      <c r="F2">
        <v>114103</v>
      </c>
      <c r="G2">
        <v>3</v>
      </c>
      <c r="I2" s="35" t="s">
        <v>95</v>
      </c>
      <c r="J2" t="s">
        <v>79</v>
      </c>
    </row>
    <row r="3" spans="1:10">
      <c r="A3" t="s">
        <v>616</v>
      </c>
      <c r="B3" t="s">
        <v>564</v>
      </c>
      <c r="C3" t="s">
        <v>543</v>
      </c>
      <c r="D3">
        <v>168</v>
      </c>
      <c r="E3">
        <v>6</v>
      </c>
      <c r="F3">
        <v>91861</v>
      </c>
      <c r="G3">
        <v>1</v>
      </c>
      <c r="I3" s="31" t="s">
        <v>92</v>
      </c>
      <c r="J3" t="s">
        <v>81</v>
      </c>
    </row>
    <row r="4" spans="1:10">
      <c r="A4" t="s">
        <v>617</v>
      </c>
      <c r="B4" t="s">
        <v>564</v>
      </c>
      <c r="C4" t="s">
        <v>540</v>
      </c>
      <c r="D4">
        <v>141</v>
      </c>
      <c r="E4">
        <v>10</v>
      </c>
      <c r="F4">
        <v>81048</v>
      </c>
      <c r="G4">
        <v>4</v>
      </c>
      <c r="I4" s="31" t="s">
        <v>100</v>
      </c>
      <c r="J4" t="s">
        <v>81</v>
      </c>
    </row>
    <row r="5" spans="1:10">
      <c r="A5" t="s">
        <v>615</v>
      </c>
      <c r="B5" t="s">
        <v>564</v>
      </c>
      <c r="C5" t="s">
        <v>540</v>
      </c>
      <c r="D5">
        <v>169</v>
      </c>
      <c r="E5">
        <v>9</v>
      </c>
      <c r="F5">
        <v>73051</v>
      </c>
      <c r="G5">
        <v>5</v>
      </c>
      <c r="I5" s="34" t="s">
        <v>98</v>
      </c>
      <c r="J5" t="s">
        <v>80</v>
      </c>
    </row>
    <row r="6" spans="1:10">
      <c r="A6" t="s">
        <v>497</v>
      </c>
      <c r="B6" t="s">
        <v>565</v>
      </c>
      <c r="C6" t="s">
        <v>541</v>
      </c>
      <c r="D6">
        <v>502</v>
      </c>
      <c r="E6">
        <v>14</v>
      </c>
      <c r="F6">
        <v>71709</v>
      </c>
      <c r="G6">
        <v>1</v>
      </c>
      <c r="I6" s="34" t="s">
        <v>84</v>
      </c>
      <c r="J6" t="s">
        <v>149</v>
      </c>
    </row>
    <row r="7" spans="1:10">
      <c r="A7" t="s">
        <v>619</v>
      </c>
      <c r="B7" t="s">
        <v>564</v>
      </c>
      <c r="C7" t="s">
        <v>543</v>
      </c>
      <c r="D7">
        <v>176</v>
      </c>
      <c r="E7">
        <v>5</v>
      </c>
      <c r="F7">
        <v>66022</v>
      </c>
      <c r="G7">
        <v>1</v>
      </c>
      <c r="I7" s="34" t="s">
        <v>87</v>
      </c>
      <c r="J7" t="s">
        <v>79</v>
      </c>
    </row>
    <row r="8" spans="1:10">
      <c r="A8" t="s">
        <v>507</v>
      </c>
      <c r="B8" t="s">
        <v>565</v>
      </c>
      <c r="C8" t="s">
        <v>548</v>
      </c>
      <c r="D8">
        <v>147</v>
      </c>
      <c r="E8">
        <v>7</v>
      </c>
      <c r="F8">
        <v>40227</v>
      </c>
      <c r="G8">
        <v>0</v>
      </c>
      <c r="I8" s="34" t="s">
        <v>90</v>
      </c>
      <c r="J8" t="s">
        <v>80</v>
      </c>
    </row>
    <row r="9" spans="1:10">
      <c r="A9" t="s">
        <v>632</v>
      </c>
      <c r="B9" t="s">
        <v>564</v>
      </c>
      <c r="C9" t="s">
        <v>542</v>
      </c>
      <c r="D9">
        <v>105</v>
      </c>
      <c r="E9">
        <v>9</v>
      </c>
      <c r="F9">
        <v>35343</v>
      </c>
      <c r="G9">
        <v>1</v>
      </c>
      <c r="I9" s="34" t="s">
        <v>85</v>
      </c>
      <c r="J9" t="s">
        <v>149</v>
      </c>
    </row>
    <row r="10" spans="1:10">
      <c r="A10" t="s">
        <v>506</v>
      </c>
      <c r="B10" t="s">
        <v>565</v>
      </c>
      <c r="C10" t="s">
        <v>548</v>
      </c>
      <c r="D10">
        <v>165</v>
      </c>
      <c r="E10">
        <v>6</v>
      </c>
      <c r="F10">
        <v>34584</v>
      </c>
      <c r="G10">
        <v>2</v>
      </c>
      <c r="I10" s="34" t="s">
        <v>96</v>
      </c>
      <c r="J10" t="s">
        <v>149</v>
      </c>
    </row>
    <row r="11" spans="1:10">
      <c r="A11" t="s">
        <v>634</v>
      </c>
      <c r="B11" t="s">
        <v>564</v>
      </c>
      <c r="C11" t="s">
        <v>545</v>
      </c>
      <c r="D11">
        <v>136</v>
      </c>
      <c r="E11">
        <v>3</v>
      </c>
      <c r="F11">
        <v>25498</v>
      </c>
      <c r="G11">
        <v>1</v>
      </c>
      <c r="I11" s="34" t="s">
        <v>101</v>
      </c>
      <c r="J11" t="s">
        <v>79</v>
      </c>
    </row>
    <row r="12" spans="1:10">
      <c r="A12" t="s">
        <v>629</v>
      </c>
      <c r="B12" t="s">
        <v>564</v>
      </c>
      <c r="C12" t="s">
        <v>542</v>
      </c>
      <c r="D12">
        <v>102</v>
      </c>
      <c r="E12">
        <v>6</v>
      </c>
      <c r="F12">
        <v>22605</v>
      </c>
      <c r="G12">
        <v>0</v>
      </c>
      <c r="I12" s="34" t="s">
        <v>115</v>
      </c>
      <c r="J12" t="s">
        <v>80</v>
      </c>
    </row>
    <row r="13" spans="1:10">
      <c r="A13" t="s">
        <v>621</v>
      </c>
      <c r="B13" t="s">
        <v>564</v>
      </c>
      <c r="C13" t="s">
        <v>544</v>
      </c>
      <c r="D13">
        <v>60</v>
      </c>
      <c r="E13">
        <v>3</v>
      </c>
      <c r="F13">
        <v>16951</v>
      </c>
      <c r="G13">
        <v>1</v>
      </c>
      <c r="I13" s="34" t="s">
        <v>86</v>
      </c>
      <c r="J13" t="s">
        <v>80</v>
      </c>
    </row>
    <row r="14" spans="1:10">
      <c r="A14" t="s">
        <v>633</v>
      </c>
      <c r="B14" t="s">
        <v>564</v>
      </c>
      <c r="C14" t="s">
        <v>547</v>
      </c>
      <c r="D14">
        <v>32</v>
      </c>
      <c r="E14">
        <v>3</v>
      </c>
      <c r="F14">
        <v>14542</v>
      </c>
      <c r="G14">
        <v>0</v>
      </c>
      <c r="I14" s="32" t="s">
        <v>97</v>
      </c>
      <c r="J14" t="s">
        <v>80</v>
      </c>
    </row>
    <row r="15" spans="1:10">
      <c r="A15" t="s">
        <v>618</v>
      </c>
      <c r="B15" t="s">
        <v>564</v>
      </c>
      <c r="C15" t="s">
        <v>551</v>
      </c>
      <c r="D15">
        <v>15</v>
      </c>
      <c r="E15">
        <v>3</v>
      </c>
      <c r="F15">
        <v>11539</v>
      </c>
      <c r="G15">
        <v>1</v>
      </c>
      <c r="I15" s="32" t="s">
        <v>93</v>
      </c>
      <c r="J15" t="s">
        <v>81</v>
      </c>
    </row>
    <row r="16" spans="1:10">
      <c r="A16" t="s">
        <v>628</v>
      </c>
      <c r="B16" t="s">
        <v>564</v>
      </c>
      <c r="C16" t="s">
        <v>551</v>
      </c>
      <c r="D16">
        <v>13</v>
      </c>
      <c r="E16">
        <v>1</v>
      </c>
      <c r="F16">
        <v>8063</v>
      </c>
      <c r="G16">
        <v>0</v>
      </c>
      <c r="I16" s="34" t="s">
        <v>94</v>
      </c>
      <c r="J16" t="s">
        <v>149</v>
      </c>
    </row>
    <row r="17" spans="1:10">
      <c r="A17" t="s">
        <v>625</v>
      </c>
      <c r="B17" t="s">
        <v>564</v>
      </c>
      <c r="C17" t="s">
        <v>549</v>
      </c>
      <c r="D17">
        <v>90</v>
      </c>
      <c r="E17">
        <v>1</v>
      </c>
      <c r="F17">
        <v>7876</v>
      </c>
      <c r="G17">
        <v>0</v>
      </c>
      <c r="I17" s="34" t="s">
        <v>91</v>
      </c>
      <c r="J17" t="s">
        <v>81</v>
      </c>
    </row>
    <row r="18" spans="1:10">
      <c r="A18" t="s">
        <v>581</v>
      </c>
      <c r="B18" t="s">
        <v>565</v>
      </c>
      <c r="C18" t="s">
        <v>546</v>
      </c>
      <c r="D18">
        <v>163</v>
      </c>
      <c r="E18">
        <v>2</v>
      </c>
      <c r="F18">
        <v>6094</v>
      </c>
      <c r="G18">
        <v>1</v>
      </c>
      <c r="I18" s="34" t="s">
        <v>88</v>
      </c>
      <c r="J18" t="s">
        <v>79</v>
      </c>
    </row>
    <row r="19" spans="1:10">
      <c r="A19" t="s">
        <v>517</v>
      </c>
      <c r="B19" t="s">
        <v>565</v>
      </c>
      <c r="C19" t="s">
        <v>558</v>
      </c>
      <c r="D19">
        <v>10</v>
      </c>
      <c r="E19">
        <v>1</v>
      </c>
      <c r="F19">
        <v>4884</v>
      </c>
      <c r="G19">
        <v>0</v>
      </c>
      <c r="I19" s="34" t="s">
        <v>89</v>
      </c>
      <c r="J19" t="s">
        <v>80</v>
      </c>
    </row>
    <row r="20" spans="1:10">
      <c r="A20" t="s">
        <v>523</v>
      </c>
      <c r="B20" t="s">
        <v>565</v>
      </c>
      <c r="C20" t="s">
        <v>546</v>
      </c>
      <c r="D20">
        <v>152</v>
      </c>
      <c r="E20">
        <v>1</v>
      </c>
      <c r="F20">
        <v>4246</v>
      </c>
      <c r="G20">
        <v>0</v>
      </c>
      <c r="I20" s="34" t="s">
        <v>99</v>
      </c>
      <c r="J20" t="s">
        <v>81</v>
      </c>
    </row>
    <row r="21" spans="1:10">
      <c r="A21" t="s">
        <v>582</v>
      </c>
      <c r="B21" t="s">
        <v>565</v>
      </c>
      <c r="C21" t="s">
        <v>560</v>
      </c>
      <c r="D21">
        <v>28</v>
      </c>
      <c r="E21">
        <v>1</v>
      </c>
      <c r="F21">
        <v>3388</v>
      </c>
      <c r="G21">
        <v>0</v>
      </c>
      <c r="I21" s="34" t="s">
        <v>102</v>
      </c>
      <c r="J21" t="s">
        <v>80</v>
      </c>
    </row>
    <row r="22" spans="1:10">
      <c r="A22" t="s">
        <v>606</v>
      </c>
      <c r="B22" t="s">
        <v>564</v>
      </c>
      <c r="C22" t="s">
        <v>605</v>
      </c>
      <c r="D22">
        <v>10</v>
      </c>
      <c r="E22">
        <v>2</v>
      </c>
      <c r="F22">
        <v>3036</v>
      </c>
      <c r="G22">
        <v>2</v>
      </c>
      <c r="I22" s="34" t="s">
        <v>103</v>
      </c>
      <c r="J22" t="s">
        <v>81</v>
      </c>
    </row>
    <row r="23" spans="1:10">
      <c r="A23" t="s">
        <v>514</v>
      </c>
      <c r="B23" t="s">
        <v>565</v>
      </c>
      <c r="C23" t="s">
        <v>553</v>
      </c>
      <c r="D23">
        <v>19</v>
      </c>
      <c r="E23">
        <v>2</v>
      </c>
      <c r="F23">
        <v>1991</v>
      </c>
      <c r="G23">
        <v>0</v>
      </c>
      <c r="I23" s="34" t="s">
        <v>104</v>
      </c>
      <c r="J23" t="s">
        <v>79</v>
      </c>
    </row>
    <row r="24" spans="1:10">
      <c r="A24" t="s">
        <v>589</v>
      </c>
      <c r="B24" t="s">
        <v>565</v>
      </c>
      <c r="C24" t="s">
        <v>613</v>
      </c>
      <c r="D24">
        <v>35</v>
      </c>
      <c r="E24">
        <v>2</v>
      </c>
      <c r="F24">
        <v>1804</v>
      </c>
      <c r="G24">
        <v>1</v>
      </c>
      <c r="I24" s="34" t="s">
        <v>105</v>
      </c>
      <c r="J24" t="s">
        <v>149</v>
      </c>
    </row>
    <row r="25" spans="1:10">
      <c r="A25" t="s">
        <v>521</v>
      </c>
      <c r="B25" t="s">
        <v>565</v>
      </c>
      <c r="C25" t="s">
        <v>555</v>
      </c>
      <c r="D25">
        <v>5</v>
      </c>
      <c r="E25">
        <v>1</v>
      </c>
      <c r="F25">
        <v>990</v>
      </c>
      <c r="G25">
        <v>0</v>
      </c>
      <c r="I25" s="34" t="s">
        <v>106</v>
      </c>
      <c r="J25" t="s">
        <v>81</v>
      </c>
    </row>
    <row r="26" spans="1:10">
      <c r="A26" t="s">
        <v>519</v>
      </c>
      <c r="B26" t="s">
        <v>565</v>
      </c>
      <c r="C26" t="s">
        <v>552</v>
      </c>
      <c r="D26">
        <v>34</v>
      </c>
      <c r="E26">
        <v>1</v>
      </c>
      <c r="F26">
        <v>594</v>
      </c>
      <c r="G26">
        <v>0</v>
      </c>
      <c r="I26" s="34" t="s">
        <v>107</v>
      </c>
      <c r="J26" t="s">
        <v>79</v>
      </c>
    </row>
    <row r="27" spans="1:10">
      <c r="A27" t="s">
        <v>450</v>
      </c>
      <c r="B27" t="s">
        <v>565</v>
      </c>
      <c r="C27" t="s">
        <v>552</v>
      </c>
      <c r="D27">
        <v>21</v>
      </c>
      <c r="E27">
        <v>2</v>
      </c>
      <c r="F27">
        <v>572</v>
      </c>
      <c r="G27">
        <v>0</v>
      </c>
      <c r="I27" s="34" t="s">
        <v>108</v>
      </c>
      <c r="J27" t="s">
        <v>149</v>
      </c>
    </row>
    <row r="28" spans="1:10">
      <c r="A28" t="s">
        <v>515</v>
      </c>
      <c r="B28" t="s">
        <v>565</v>
      </c>
      <c r="C28" t="s">
        <v>553</v>
      </c>
      <c r="D28">
        <v>18</v>
      </c>
      <c r="E28">
        <v>1</v>
      </c>
      <c r="F28">
        <v>517</v>
      </c>
      <c r="G28">
        <v>0</v>
      </c>
      <c r="I28" s="34" t="s">
        <v>109</v>
      </c>
      <c r="J28" t="s">
        <v>81</v>
      </c>
    </row>
    <row r="29" spans="1:10">
      <c r="A29" t="s">
        <v>518</v>
      </c>
      <c r="B29" t="s">
        <v>565</v>
      </c>
      <c r="C29" t="s">
        <v>554</v>
      </c>
      <c r="D29">
        <v>26</v>
      </c>
      <c r="E29">
        <v>1</v>
      </c>
      <c r="F29">
        <v>297</v>
      </c>
      <c r="G29">
        <v>2</v>
      </c>
      <c r="I29" s="34" t="s">
        <v>110</v>
      </c>
      <c r="J29" t="s">
        <v>80</v>
      </c>
    </row>
    <row r="30" spans="1:10">
      <c r="A30" t="s">
        <v>448</v>
      </c>
      <c r="B30" t="s">
        <v>565</v>
      </c>
      <c r="C30" t="s">
        <v>554</v>
      </c>
      <c r="D30">
        <v>16</v>
      </c>
      <c r="E30">
        <v>1</v>
      </c>
      <c r="F30">
        <v>286</v>
      </c>
      <c r="G30">
        <v>0</v>
      </c>
      <c r="I30" s="34" t="s">
        <v>111</v>
      </c>
      <c r="J30" t="s">
        <v>149</v>
      </c>
    </row>
    <row r="31" spans="1:10">
      <c r="A31" t="s">
        <v>501</v>
      </c>
      <c r="B31" t="s">
        <v>565</v>
      </c>
      <c r="C31" t="s">
        <v>557</v>
      </c>
      <c r="D31">
        <v>19</v>
      </c>
      <c r="E31">
        <v>0</v>
      </c>
      <c r="F31">
        <v>0</v>
      </c>
      <c r="G31">
        <v>0</v>
      </c>
      <c r="I31" s="34" t="s">
        <v>112</v>
      </c>
      <c r="J31" t="s">
        <v>80</v>
      </c>
    </row>
    <row r="32" spans="1:10">
      <c r="A32" t="s">
        <v>511</v>
      </c>
      <c r="B32" t="s">
        <v>565</v>
      </c>
      <c r="C32" t="s">
        <v>557</v>
      </c>
      <c r="D32">
        <v>23</v>
      </c>
      <c r="E32">
        <v>0</v>
      </c>
      <c r="F32">
        <v>0</v>
      </c>
      <c r="G32">
        <v>0</v>
      </c>
      <c r="I32" s="34" t="s">
        <v>113</v>
      </c>
      <c r="J32" t="s">
        <v>149</v>
      </c>
    </row>
    <row r="33" spans="1:10">
      <c r="A33" t="s">
        <v>512</v>
      </c>
      <c r="B33" t="s">
        <v>565</v>
      </c>
      <c r="C33" t="s">
        <v>559</v>
      </c>
      <c r="D33">
        <v>33</v>
      </c>
      <c r="E33">
        <v>0</v>
      </c>
      <c r="F33">
        <v>0</v>
      </c>
      <c r="G33">
        <v>0</v>
      </c>
      <c r="I33" s="34" t="s">
        <v>114</v>
      </c>
      <c r="J33" t="s">
        <v>80</v>
      </c>
    </row>
    <row r="34" spans="1:10">
      <c r="A34" t="s">
        <v>513</v>
      </c>
      <c r="B34" t="s">
        <v>565</v>
      </c>
      <c r="C34" t="s">
        <v>559</v>
      </c>
      <c r="D34">
        <v>35</v>
      </c>
      <c r="E34">
        <v>0</v>
      </c>
      <c r="F34">
        <v>0</v>
      </c>
      <c r="G34">
        <v>0</v>
      </c>
      <c r="I34" s="34" t="s">
        <v>116</v>
      </c>
      <c r="J34" t="s">
        <v>81</v>
      </c>
    </row>
    <row r="35" spans="1:10">
      <c r="A35" t="s">
        <v>516</v>
      </c>
      <c r="B35" t="s">
        <v>565</v>
      </c>
      <c r="C35" t="s">
        <v>558</v>
      </c>
      <c r="D35">
        <v>4</v>
      </c>
      <c r="E35">
        <v>0</v>
      </c>
      <c r="F35">
        <v>0</v>
      </c>
      <c r="G35">
        <v>0</v>
      </c>
      <c r="I35" s="34" t="s">
        <v>117</v>
      </c>
      <c r="J35" t="s">
        <v>81</v>
      </c>
    </row>
    <row r="36" spans="1:10">
      <c r="A36" t="s">
        <v>520</v>
      </c>
      <c r="B36" t="s">
        <v>565</v>
      </c>
      <c r="C36" t="s">
        <v>555</v>
      </c>
      <c r="D36">
        <v>2</v>
      </c>
      <c r="E36">
        <v>0</v>
      </c>
      <c r="F36">
        <v>0</v>
      </c>
      <c r="G36">
        <v>0</v>
      </c>
      <c r="I36" s="34" t="s">
        <v>118</v>
      </c>
      <c r="J36" t="s">
        <v>79</v>
      </c>
    </row>
    <row r="37" spans="1:10">
      <c r="A37" t="s">
        <v>522</v>
      </c>
      <c r="B37" t="s">
        <v>565</v>
      </c>
      <c r="C37" t="s">
        <v>641</v>
      </c>
      <c r="D37">
        <v>1</v>
      </c>
      <c r="E37">
        <v>0</v>
      </c>
      <c r="F37">
        <v>0</v>
      </c>
      <c r="G37">
        <v>0</v>
      </c>
      <c r="I37" s="34" t="s">
        <v>119</v>
      </c>
      <c r="J37" t="s">
        <v>80</v>
      </c>
    </row>
    <row r="38" spans="1:10">
      <c r="A38" t="s">
        <v>652</v>
      </c>
      <c r="B38" t="s">
        <v>565</v>
      </c>
      <c r="C38" t="s">
        <v>641</v>
      </c>
      <c r="D38">
        <v>4</v>
      </c>
      <c r="E38">
        <v>0</v>
      </c>
      <c r="F38">
        <v>0</v>
      </c>
      <c r="G38">
        <v>0</v>
      </c>
      <c r="I38" s="34" t="s">
        <v>120</v>
      </c>
      <c r="J38" t="s">
        <v>81</v>
      </c>
    </row>
    <row r="39" spans="1:10">
      <c r="A39" t="s">
        <v>525</v>
      </c>
      <c r="B39" t="s">
        <v>565</v>
      </c>
      <c r="C39" t="s">
        <v>560</v>
      </c>
      <c r="D39">
        <v>32</v>
      </c>
      <c r="E39">
        <v>0</v>
      </c>
      <c r="F39">
        <v>0</v>
      </c>
      <c r="G39">
        <v>0</v>
      </c>
      <c r="I39" s="34" t="s">
        <v>121</v>
      </c>
      <c r="J39" t="s">
        <v>81</v>
      </c>
    </row>
    <row r="40" spans="1:10">
      <c r="A40" t="s">
        <v>529</v>
      </c>
      <c r="B40" t="s">
        <v>565</v>
      </c>
      <c r="C40" t="s">
        <v>556</v>
      </c>
      <c r="D40">
        <v>21</v>
      </c>
      <c r="E40">
        <v>0</v>
      </c>
      <c r="F40">
        <v>0</v>
      </c>
      <c r="G40">
        <v>0</v>
      </c>
      <c r="I40" s="34" t="s">
        <v>122</v>
      </c>
      <c r="J40" t="s">
        <v>79</v>
      </c>
    </row>
    <row r="41" spans="1:10">
      <c r="A41" t="s">
        <v>530</v>
      </c>
      <c r="B41" t="s">
        <v>565</v>
      </c>
      <c r="C41" t="s">
        <v>613</v>
      </c>
      <c r="D41">
        <v>27</v>
      </c>
      <c r="E41">
        <v>0</v>
      </c>
      <c r="F41">
        <v>0</v>
      </c>
      <c r="G41">
        <v>0</v>
      </c>
      <c r="I41" s="34" t="s">
        <v>123</v>
      </c>
      <c r="J41" t="s">
        <v>79</v>
      </c>
    </row>
    <row r="42" spans="1:10">
      <c r="A42" t="s">
        <v>588</v>
      </c>
      <c r="B42" t="s">
        <v>565</v>
      </c>
      <c r="C42" t="s">
        <v>556</v>
      </c>
      <c r="D42">
        <v>10</v>
      </c>
      <c r="E42">
        <v>0</v>
      </c>
      <c r="F42">
        <v>0</v>
      </c>
      <c r="G42">
        <v>0</v>
      </c>
      <c r="I42" s="34" t="s">
        <v>124</v>
      </c>
      <c r="J42" t="s">
        <v>79</v>
      </c>
    </row>
    <row r="43" spans="1:10">
      <c r="A43" t="s">
        <v>597</v>
      </c>
      <c r="B43" t="s">
        <v>564</v>
      </c>
      <c r="C43" t="s">
        <v>595</v>
      </c>
      <c r="D43">
        <v>7</v>
      </c>
      <c r="E43">
        <v>0</v>
      </c>
      <c r="F43">
        <v>0</v>
      </c>
      <c r="G43">
        <v>0</v>
      </c>
      <c r="I43" s="34" t="s">
        <v>125</v>
      </c>
      <c r="J43" t="s">
        <v>79</v>
      </c>
    </row>
    <row r="44" spans="1:10">
      <c r="A44" t="s">
        <v>598</v>
      </c>
      <c r="B44" t="s">
        <v>564</v>
      </c>
      <c r="C44" t="s">
        <v>595</v>
      </c>
      <c r="D44">
        <v>3</v>
      </c>
      <c r="E44">
        <v>0</v>
      </c>
      <c r="F44">
        <v>0</v>
      </c>
      <c r="G44">
        <v>0</v>
      </c>
      <c r="I44" s="34" t="s">
        <v>126</v>
      </c>
      <c r="J44" t="s">
        <v>79</v>
      </c>
    </row>
    <row r="45" spans="1:10">
      <c r="A45" t="s">
        <v>607</v>
      </c>
      <c r="B45" t="s">
        <v>564</v>
      </c>
      <c r="C45" t="s">
        <v>605</v>
      </c>
      <c r="D45">
        <v>2</v>
      </c>
      <c r="E45">
        <v>0</v>
      </c>
      <c r="F45">
        <v>0</v>
      </c>
      <c r="G45">
        <v>0</v>
      </c>
      <c r="I45" s="34" t="s">
        <v>127</v>
      </c>
      <c r="J45" t="s">
        <v>79</v>
      </c>
    </row>
    <row r="46" spans="1:10">
      <c r="A46" t="s">
        <v>599</v>
      </c>
      <c r="B46" t="s">
        <v>564</v>
      </c>
      <c r="C46" t="s">
        <v>596</v>
      </c>
      <c r="D46">
        <v>3</v>
      </c>
      <c r="E46">
        <v>0</v>
      </c>
      <c r="F46">
        <v>0</v>
      </c>
      <c r="G46">
        <v>0</v>
      </c>
      <c r="I46" s="34" t="s">
        <v>128</v>
      </c>
      <c r="J46" t="s">
        <v>150</v>
      </c>
    </row>
    <row r="47" spans="1:10">
      <c r="A47" t="s">
        <v>600</v>
      </c>
      <c r="B47" t="s">
        <v>564</v>
      </c>
      <c r="C47" t="s">
        <v>596</v>
      </c>
      <c r="D47">
        <v>3</v>
      </c>
      <c r="E47">
        <v>0</v>
      </c>
      <c r="F47">
        <v>0</v>
      </c>
      <c r="G47">
        <v>0</v>
      </c>
      <c r="I47" s="34" t="s">
        <v>129</v>
      </c>
      <c r="J47" t="s">
        <v>151</v>
      </c>
    </row>
    <row r="48" spans="1:10">
      <c r="A48" t="s">
        <v>624</v>
      </c>
      <c r="B48" t="s">
        <v>564</v>
      </c>
      <c r="C48" t="s">
        <v>550</v>
      </c>
      <c r="D48">
        <v>11</v>
      </c>
      <c r="E48">
        <v>0</v>
      </c>
      <c r="F48">
        <v>0</v>
      </c>
      <c r="G48">
        <v>0</v>
      </c>
      <c r="I48" s="34" t="s">
        <v>130</v>
      </c>
      <c r="J48" t="s">
        <v>150</v>
      </c>
    </row>
    <row r="49" spans="1:10">
      <c r="A49" t="s">
        <v>626</v>
      </c>
      <c r="B49" t="s">
        <v>564</v>
      </c>
      <c r="C49" t="s">
        <v>544</v>
      </c>
      <c r="D49">
        <v>46</v>
      </c>
      <c r="E49">
        <v>0</v>
      </c>
      <c r="F49">
        <v>0</v>
      </c>
      <c r="G49">
        <v>0</v>
      </c>
      <c r="I49" s="34" t="s">
        <v>131</v>
      </c>
      <c r="J49" t="s">
        <v>151</v>
      </c>
    </row>
    <row r="50" spans="1:10">
      <c r="A50" t="s">
        <v>627</v>
      </c>
      <c r="B50" t="s">
        <v>564</v>
      </c>
      <c r="C50" t="s">
        <v>550</v>
      </c>
      <c r="D50">
        <v>18</v>
      </c>
      <c r="E50">
        <v>0</v>
      </c>
      <c r="F50">
        <v>0</v>
      </c>
      <c r="G50">
        <v>0</v>
      </c>
      <c r="I50" s="34" t="s">
        <v>132</v>
      </c>
      <c r="J50" t="s">
        <v>151</v>
      </c>
    </row>
    <row r="51" spans="1:10">
      <c r="A51" t="s">
        <v>620</v>
      </c>
      <c r="B51" t="s">
        <v>564</v>
      </c>
      <c r="C51" t="s">
        <v>549</v>
      </c>
      <c r="D51">
        <v>86</v>
      </c>
      <c r="E51">
        <v>0</v>
      </c>
      <c r="F51">
        <v>0</v>
      </c>
      <c r="G51">
        <v>0</v>
      </c>
      <c r="I51" s="34" t="s">
        <v>133</v>
      </c>
      <c r="J51" t="s">
        <v>152</v>
      </c>
    </row>
    <row r="52" spans="1:10">
      <c r="A52" t="s">
        <v>623</v>
      </c>
      <c r="B52" t="s">
        <v>564</v>
      </c>
      <c r="C52" t="s">
        <v>547</v>
      </c>
      <c r="D52">
        <v>21</v>
      </c>
      <c r="E52">
        <v>0</v>
      </c>
      <c r="F52">
        <v>0</v>
      </c>
      <c r="G52">
        <v>0</v>
      </c>
      <c r="I52" s="34" t="s">
        <v>134</v>
      </c>
      <c r="J52" t="s">
        <v>153</v>
      </c>
    </row>
    <row r="53" spans="1:10">
      <c r="A53" t="s">
        <v>622</v>
      </c>
      <c r="B53" t="s">
        <v>564</v>
      </c>
      <c r="C53" t="s">
        <v>545</v>
      </c>
      <c r="D53">
        <v>122</v>
      </c>
      <c r="E53">
        <v>0</v>
      </c>
      <c r="F53">
        <v>0</v>
      </c>
      <c r="G53">
        <v>2</v>
      </c>
      <c r="I53" s="34" t="s">
        <v>135</v>
      </c>
      <c r="J53" t="s">
        <v>152</v>
      </c>
    </row>
    <row r="54" spans="1:10">
      <c r="I54" s="34" t="s">
        <v>136</v>
      </c>
      <c r="J54" t="s">
        <v>153</v>
      </c>
    </row>
    <row r="55" spans="1:10">
      <c r="I55" s="34" t="s">
        <v>137</v>
      </c>
      <c r="J55" t="s">
        <v>153</v>
      </c>
    </row>
    <row r="56" spans="1:10">
      <c r="I56" s="34" t="s">
        <v>138</v>
      </c>
      <c r="J56" t="s">
        <v>154</v>
      </c>
    </row>
    <row r="57" spans="1:10">
      <c r="I57" s="34" t="s">
        <v>139</v>
      </c>
      <c r="J57" t="s">
        <v>154</v>
      </c>
    </row>
    <row r="58" spans="1:10">
      <c r="I58" s="34" t="s">
        <v>140</v>
      </c>
      <c r="J58" t="s">
        <v>155</v>
      </c>
    </row>
    <row r="59" spans="1:10">
      <c r="I59" s="34" t="s">
        <v>156</v>
      </c>
      <c r="J59" t="s">
        <v>157</v>
      </c>
    </row>
    <row r="60" spans="1:10">
      <c r="I60" s="34" t="s">
        <v>141</v>
      </c>
      <c r="J60" t="s">
        <v>158</v>
      </c>
    </row>
    <row r="61" spans="1:10">
      <c r="I61" s="34" t="s">
        <v>142</v>
      </c>
      <c r="J61" t="s">
        <v>157</v>
      </c>
    </row>
    <row r="62" spans="1:10">
      <c r="I62" s="34" t="s">
        <v>143</v>
      </c>
      <c r="J62" t="s">
        <v>158</v>
      </c>
    </row>
    <row r="63" spans="1:10">
      <c r="I63" s="34" t="s">
        <v>144</v>
      </c>
      <c r="J63" t="s">
        <v>157</v>
      </c>
    </row>
    <row r="64" spans="1:10">
      <c r="I64" s="34" t="s">
        <v>145</v>
      </c>
      <c r="J64" t="s">
        <v>159</v>
      </c>
    </row>
    <row r="65" spans="9:10">
      <c r="I65" s="34" t="s">
        <v>146</v>
      </c>
      <c r="J65" t="s">
        <v>160</v>
      </c>
    </row>
    <row r="66" spans="9:10">
      <c r="I66" s="34" t="s">
        <v>147</v>
      </c>
      <c r="J66" t="s">
        <v>161</v>
      </c>
    </row>
    <row r="67" spans="9:10">
      <c r="I67" s="34" t="s">
        <v>148</v>
      </c>
      <c r="J67" t="s">
        <v>160</v>
      </c>
    </row>
    <row r="68" spans="9:10">
      <c r="I68" s="34" t="s">
        <v>163</v>
      </c>
      <c r="J68" t="s">
        <v>164</v>
      </c>
    </row>
    <row r="69" spans="9:10">
      <c r="I69" s="34" t="s">
        <v>165</v>
      </c>
      <c r="J69" t="s">
        <v>166</v>
      </c>
    </row>
    <row r="70" spans="9:10">
      <c r="I70" s="34" t="s">
        <v>167</v>
      </c>
      <c r="J70" t="s">
        <v>164</v>
      </c>
    </row>
    <row r="71" spans="9:10">
      <c r="I71" s="34" t="s">
        <v>168</v>
      </c>
      <c r="J71" t="s">
        <v>166</v>
      </c>
    </row>
    <row r="72" spans="9:10">
      <c r="I72" s="34" t="s">
        <v>170</v>
      </c>
      <c r="J72" t="s">
        <v>164</v>
      </c>
    </row>
    <row r="73" spans="9:10">
      <c r="I73" s="34" t="s">
        <v>169</v>
      </c>
      <c r="J73" t="s">
        <v>166</v>
      </c>
    </row>
    <row r="74" spans="9:10">
      <c r="I74" s="34" t="s">
        <v>171</v>
      </c>
      <c r="J74" t="s">
        <v>164</v>
      </c>
    </row>
    <row r="75" spans="9:10">
      <c r="I75" s="34" t="s">
        <v>172</v>
      </c>
      <c r="J75" t="s">
        <v>166</v>
      </c>
    </row>
    <row r="76" spans="9:10">
      <c r="I76" s="34" t="s">
        <v>174</v>
      </c>
      <c r="J76" t="s">
        <v>175</v>
      </c>
    </row>
    <row r="77" spans="9:10">
      <c r="I77" s="34" t="s">
        <v>173</v>
      </c>
      <c r="J77" t="s">
        <v>186</v>
      </c>
    </row>
    <row r="78" spans="9:10">
      <c r="I78" s="34" t="s">
        <v>177</v>
      </c>
      <c r="J78" t="s">
        <v>175</v>
      </c>
    </row>
    <row r="79" spans="9:10">
      <c r="I79" s="34" t="s">
        <v>176</v>
      </c>
      <c r="J79" t="s">
        <v>186</v>
      </c>
    </row>
    <row r="80" spans="9:10">
      <c r="I80" s="34" t="s">
        <v>178</v>
      </c>
      <c r="J80" t="s">
        <v>175</v>
      </c>
    </row>
    <row r="81" spans="9:10">
      <c r="I81" s="34" t="s">
        <v>179</v>
      </c>
      <c r="J81" t="s">
        <v>186</v>
      </c>
    </row>
    <row r="82" spans="9:10">
      <c r="I82" s="34" t="s">
        <v>181</v>
      </c>
      <c r="J82" t="s">
        <v>175</v>
      </c>
    </row>
    <row r="83" spans="9:10">
      <c r="I83" s="34" t="s">
        <v>180</v>
      </c>
      <c r="J83" t="s">
        <v>186</v>
      </c>
    </row>
    <row r="84" spans="9:10">
      <c r="I84" s="34" t="s">
        <v>182</v>
      </c>
      <c r="J84" t="s">
        <v>183</v>
      </c>
    </row>
    <row r="85" spans="9:10">
      <c r="I85" s="34" t="s">
        <v>184</v>
      </c>
      <c r="J85" t="s">
        <v>185</v>
      </c>
    </row>
    <row r="86" spans="9:10">
      <c r="I86" s="34" t="s">
        <v>188</v>
      </c>
      <c r="J86" t="s">
        <v>183</v>
      </c>
    </row>
    <row r="87" spans="9:10">
      <c r="I87" s="34" t="s">
        <v>187</v>
      </c>
      <c r="J87" t="s">
        <v>185</v>
      </c>
    </row>
    <row r="88" spans="9:10">
      <c r="I88" s="34" t="s">
        <v>190</v>
      </c>
      <c r="J88" t="s">
        <v>183</v>
      </c>
    </row>
    <row r="89" spans="9:10">
      <c r="I89" s="34" t="s">
        <v>189</v>
      </c>
      <c r="J89" t="s">
        <v>185</v>
      </c>
    </row>
    <row r="90" spans="9:10">
      <c r="I90" s="34" t="s">
        <v>192</v>
      </c>
      <c r="J90" t="s">
        <v>183</v>
      </c>
    </row>
    <row r="91" spans="9:10">
      <c r="I91" s="34" t="s">
        <v>191</v>
      </c>
      <c r="J91" t="s">
        <v>185</v>
      </c>
    </row>
    <row r="92" spans="9:10">
      <c r="I92" s="34" t="s">
        <v>193</v>
      </c>
      <c r="J92" t="s">
        <v>164</v>
      </c>
    </row>
    <row r="93" spans="9:10">
      <c r="I93" s="34" t="s">
        <v>194</v>
      </c>
      <c r="J93" t="s">
        <v>166</v>
      </c>
    </row>
    <row r="94" spans="9:10">
      <c r="I94" s="34" t="s">
        <v>195</v>
      </c>
      <c r="J94" t="s">
        <v>164</v>
      </c>
    </row>
    <row r="95" spans="9:10">
      <c r="I95" s="34" t="s">
        <v>196</v>
      </c>
      <c r="J95" t="s">
        <v>166</v>
      </c>
    </row>
    <row r="96" spans="9:10">
      <c r="I96" s="34" t="s">
        <v>197</v>
      </c>
      <c r="J96" t="s">
        <v>164</v>
      </c>
    </row>
    <row r="97" spans="9:10">
      <c r="I97" s="34" t="s">
        <v>198</v>
      </c>
      <c r="J97" t="s">
        <v>166</v>
      </c>
    </row>
    <row r="98" spans="9:10">
      <c r="I98" s="34" t="s">
        <v>199</v>
      </c>
      <c r="J98" t="s">
        <v>164</v>
      </c>
    </row>
    <row r="99" spans="9:10">
      <c r="I99" s="34" t="s">
        <v>200</v>
      </c>
      <c r="J99" t="s">
        <v>166</v>
      </c>
    </row>
    <row r="100" spans="9:10">
      <c r="I100" s="34" t="s">
        <v>201</v>
      </c>
      <c r="J100" t="s">
        <v>175</v>
      </c>
    </row>
    <row r="101" spans="9:10">
      <c r="I101" s="34" t="s">
        <v>202</v>
      </c>
      <c r="J101" t="s">
        <v>186</v>
      </c>
    </row>
    <row r="102" spans="9:10">
      <c r="I102" s="34" t="s">
        <v>204</v>
      </c>
      <c r="J102" t="s">
        <v>175</v>
      </c>
    </row>
    <row r="103" spans="9:10">
      <c r="I103" s="34" t="s">
        <v>203</v>
      </c>
      <c r="J103" t="s">
        <v>186</v>
      </c>
    </row>
    <row r="104" spans="9:10">
      <c r="I104" s="34" t="s">
        <v>205</v>
      </c>
      <c r="J104" t="s">
        <v>175</v>
      </c>
    </row>
    <row r="105" spans="9:10">
      <c r="I105" s="34" t="s">
        <v>206</v>
      </c>
      <c r="J105" t="s">
        <v>186</v>
      </c>
    </row>
    <row r="106" spans="9:10">
      <c r="I106" s="34" t="s">
        <v>207</v>
      </c>
      <c r="J106" t="s">
        <v>175</v>
      </c>
    </row>
    <row r="107" spans="9:10">
      <c r="I107" s="34" t="s">
        <v>208</v>
      </c>
      <c r="J107" t="s">
        <v>186</v>
      </c>
    </row>
    <row r="108" spans="9:10">
      <c r="I108" s="34" t="s">
        <v>209</v>
      </c>
      <c r="J108" t="s">
        <v>183</v>
      </c>
    </row>
    <row r="109" spans="9:10">
      <c r="I109" s="34" t="s">
        <v>210</v>
      </c>
      <c r="J109" t="s">
        <v>185</v>
      </c>
    </row>
    <row r="110" spans="9:10">
      <c r="I110" s="34" t="s">
        <v>212</v>
      </c>
      <c r="J110" t="s">
        <v>183</v>
      </c>
    </row>
    <row r="111" spans="9:10">
      <c r="I111" s="34" t="s">
        <v>211</v>
      </c>
      <c r="J111" t="s">
        <v>185</v>
      </c>
    </row>
    <row r="112" spans="9:10">
      <c r="I112" s="34" t="s">
        <v>213</v>
      </c>
      <c r="J112" t="s">
        <v>183</v>
      </c>
    </row>
    <row r="113" spans="9:10">
      <c r="I113" s="34" t="s">
        <v>214</v>
      </c>
      <c r="J113" t="s">
        <v>185</v>
      </c>
    </row>
    <row r="114" spans="9:10">
      <c r="I114" s="34" t="s">
        <v>215</v>
      </c>
      <c r="J114" t="s">
        <v>183</v>
      </c>
    </row>
    <row r="115" spans="9:10">
      <c r="I115" s="34" t="s">
        <v>216</v>
      </c>
      <c r="J115" t="s">
        <v>185</v>
      </c>
    </row>
    <row r="116" spans="9:10">
      <c r="I116" s="34" t="s">
        <v>217</v>
      </c>
      <c r="J116" t="s">
        <v>219</v>
      </c>
    </row>
    <row r="117" spans="9:10">
      <c r="I117" s="34" t="s">
        <v>218</v>
      </c>
      <c r="J117" t="s">
        <v>220</v>
      </c>
    </row>
    <row r="118" spans="9:10">
      <c r="I118" s="34" t="s">
        <v>221</v>
      </c>
      <c r="J118" t="s">
        <v>219</v>
      </c>
    </row>
    <row r="119" spans="9:10">
      <c r="I119" s="34" t="s">
        <v>222</v>
      </c>
      <c r="J119" t="s">
        <v>220</v>
      </c>
    </row>
    <row r="120" spans="9:10">
      <c r="I120" s="34" t="s">
        <v>223</v>
      </c>
      <c r="J120" t="s">
        <v>219</v>
      </c>
    </row>
    <row r="121" spans="9:10">
      <c r="I121" s="34" t="s">
        <v>224</v>
      </c>
      <c r="J121" t="s">
        <v>220</v>
      </c>
    </row>
    <row r="122" spans="9:10">
      <c r="I122" s="34" t="s">
        <v>225</v>
      </c>
      <c r="J122" t="s">
        <v>219</v>
      </c>
    </row>
    <row r="123" spans="9:10">
      <c r="I123" s="34" t="s">
        <v>226</v>
      </c>
      <c r="J123" t="s">
        <v>220</v>
      </c>
    </row>
    <row r="124" spans="9:10">
      <c r="I124" s="34" t="s">
        <v>228</v>
      </c>
      <c r="J124" t="s">
        <v>229</v>
      </c>
    </row>
    <row r="125" spans="9:10">
      <c r="I125" s="34" t="s">
        <v>227</v>
      </c>
      <c r="J125" t="s">
        <v>230</v>
      </c>
    </row>
    <row r="126" spans="9:10">
      <c r="I126" s="34" t="s">
        <v>232</v>
      </c>
      <c r="J126" t="s">
        <v>229</v>
      </c>
    </row>
    <row r="127" spans="9:10">
      <c r="I127" s="34" t="s">
        <v>231</v>
      </c>
      <c r="J127" t="s">
        <v>230</v>
      </c>
    </row>
    <row r="128" spans="9:10">
      <c r="I128" s="34" t="s">
        <v>234</v>
      </c>
      <c r="J128" t="s">
        <v>229</v>
      </c>
    </row>
    <row r="129" spans="9:10">
      <c r="I129" s="34" t="s">
        <v>233</v>
      </c>
      <c r="J129" t="s">
        <v>230</v>
      </c>
    </row>
    <row r="130" spans="9:10">
      <c r="I130" s="34" t="s">
        <v>236</v>
      </c>
      <c r="J130" t="s">
        <v>229</v>
      </c>
    </row>
    <row r="131" spans="9:10">
      <c r="I131" s="34" t="s">
        <v>235</v>
      </c>
      <c r="J131" t="s">
        <v>230</v>
      </c>
    </row>
    <row r="132" spans="9:10">
      <c r="I132" s="34" t="s">
        <v>237</v>
      </c>
      <c r="J132" t="s">
        <v>239</v>
      </c>
    </row>
    <row r="133" spans="9:10">
      <c r="I133" s="34" t="s">
        <v>238</v>
      </c>
      <c r="J133" t="s">
        <v>240</v>
      </c>
    </row>
    <row r="134" spans="9:10">
      <c r="I134" s="34" t="s">
        <v>242</v>
      </c>
      <c r="J134" t="s">
        <v>239</v>
      </c>
    </row>
    <row r="135" spans="9:10">
      <c r="I135" s="34" t="s">
        <v>241</v>
      </c>
      <c r="J135" t="s">
        <v>240</v>
      </c>
    </row>
    <row r="136" spans="9:10">
      <c r="I136" s="34" t="s">
        <v>243</v>
      </c>
      <c r="J136" t="s">
        <v>239</v>
      </c>
    </row>
    <row r="137" spans="9:10">
      <c r="I137" s="34" t="s">
        <v>244</v>
      </c>
      <c r="J137" t="s">
        <v>240</v>
      </c>
    </row>
    <row r="138" spans="9:10">
      <c r="I138" s="34" t="s">
        <v>245</v>
      </c>
      <c r="J138" t="s">
        <v>239</v>
      </c>
    </row>
    <row r="139" spans="9:10">
      <c r="I139" s="34" t="s">
        <v>246</v>
      </c>
      <c r="J139" t="s">
        <v>240</v>
      </c>
    </row>
    <row r="140" spans="9:10">
      <c r="I140" s="34" t="s">
        <v>247</v>
      </c>
      <c r="J140" t="s">
        <v>248</v>
      </c>
    </row>
    <row r="141" spans="9:10">
      <c r="I141" s="34" t="s">
        <v>249</v>
      </c>
      <c r="J141" t="s">
        <v>250</v>
      </c>
    </row>
    <row r="142" spans="9:10">
      <c r="I142" s="34" t="s">
        <v>251</v>
      </c>
      <c r="J142" t="s">
        <v>248</v>
      </c>
    </row>
    <row r="143" spans="9:10">
      <c r="I143" s="34" t="s">
        <v>252</v>
      </c>
      <c r="J143" t="s">
        <v>250</v>
      </c>
    </row>
    <row r="144" spans="9:10">
      <c r="I144" s="34" t="s">
        <v>253</v>
      </c>
      <c r="J144" t="s">
        <v>248</v>
      </c>
    </row>
    <row r="145" spans="9:10">
      <c r="I145" s="34" t="s">
        <v>254</v>
      </c>
      <c r="J145" t="s">
        <v>250</v>
      </c>
    </row>
    <row r="146" spans="9:10">
      <c r="I146" s="34" t="s">
        <v>255</v>
      </c>
      <c r="J146" t="s">
        <v>248</v>
      </c>
    </row>
    <row r="147" spans="9:10">
      <c r="I147" s="34" t="s">
        <v>256</v>
      </c>
      <c r="J147" t="s">
        <v>250</v>
      </c>
    </row>
    <row r="148" spans="9:10">
      <c r="I148" s="34" t="s">
        <v>257</v>
      </c>
      <c r="J148" t="s">
        <v>258</v>
      </c>
    </row>
    <row r="149" spans="9:10">
      <c r="I149" s="34" t="s">
        <v>260</v>
      </c>
      <c r="J149" t="s">
        <v>259</v>
      </c>
    </row>
    <row r="150" spans="9:10">
      <c r="I150" s="34" t="s">
        <v>261</v>
      </c>
      <c r="J150" t="s">
        <v>258</v>
      </c>
    </row>
    <row r="151" spans="9:10">
      <c r="I151" s="34" t="s">
        <v>262</v>
      </c>
      <c r="J151" t="s">
        <v>259</v>
      </c>
    </row>
    <row r="152" spans="9:10">
      <c r="I152" s="34" t="s">
        <v>264</v>
      </c>
      <c r="J152" t="s">
        <v>258</v>
      </c>
    </row>
    <row r="153" spans="9:10">
      <c r="I153" s="34" t="s">
        <v>263</v>
      </c>
      <c r="J153" t="s">
        <v>259</v>
      </c>
    </row>
    <row r="154" spans="9:10">
      <c r="I154" s="34" t="s">
        <v>265</v>
      </c>
      <c r="J154" t="s">
        <v>258</v>
      </c>
    </row>
    <row r="155" spans="9:10">
      <c r="I155" s="34" t="s">
        <v>266</v>
      </c>
      <c r="J155" t="s">
        <v>259</v>
      </c>
    </row>
    <row r="156" spans="9:10">
      <c r="I156" s="34" t="s">
        <v>267</v>
      </c>
      <c r="J156" t="s">
        <v>269</v>
      </c>
    </row>
    <row r="157" spans="9:10">
      <c r="I157" s="34" t="s">
        <v>268</v>
      </c>
      <c r="J157" t="s">
        <v>270</v>
      </c>
    </row>
    <row r="158" spans="9:10">
      <c r="I158" s="34" t="s">
        <v>271</v>
      </c>
      <c r="J158" t="s">
        <v>269</v>
      </c>
    </row>
    <row r="159" spans="9:10">
      <c r="I159" s="34" t="s">
        <v>272</v>
      </c>
      <c r="J159" t="s">
        <v>270</v>
      </c>
    </row>
    <row r="160" spans="9:10">
      <c r="I160" s="34" t="s">
        <v>273</v>
      </c>
      <c r="J160" t="s">
        <v>269</v>
      </c>
    </row>
    <row r="161" spans="9:10">
      <c r="I161" s="34" t="s">
        <v>274</v>
      </c>
      <c r="J161" t="s">
        <v>270</v>
      </c>
    </row>
    <row r="162" spans="9:10">
      <c r="I162" s="34" t="s">
        <v>275</v>
      </c>
      <c r="J162" t="s">
        <v>269</v>
      </c>
    </row>
    <row r="163" spans="9:10">
      <c r="I163" s="34" t="s">
        <v>276</v>
      </c>
      <c r="J163" t="s">
        <v>270</v>
      </c>
    </row>
    <row r="164" spans="9:10">
      <c r="I164" s="34" t="s">
        <v>277</v>
      </c>
      <c r="J164" t="s">
        <v>278</v>
      </c>
    </row>
    <row r="165" spans="9:10">
      <c r="I165" s="34" t="s">
        <v>279</v>
      </c>
      <c r="J165" t="s">
        <v>280</v>
      </c>
    </row>
    <row r="166" spans="9:10">
      <c r="I166" s="34" t="s">
        <v>281</v>
      </c>
      <c r="J166" t="s">
        <v>278</v>
      </c>
    </row>
    <row r="167" spans="9:10">
      <c r="I167" s="34" t="s">
        <v>282</v>
      </c>
      <c r="J167" t="s">
        <v>280</v>
      </c>
    </row>
    <row r="168" spans="9:10">
      <c r="I168" s="34" t="s">
        <v>283</v>
      </c>
      <c r="J168" t="s">
        <v>278</v>
      </c>
    </row>
    <row r="169" spans="9:10">
      <c r="I169" s="34" t="s">
        <v>284</v>
      </c>
      <c r="J169" t="s">
        <v>280</v>
      </c>
    </row>
    <row r="170" spans="9:10">
      <c r="I170" s="34" t="s">
        <v>285</v>
      </c>
      <c r="J170" t="s">
        <v>278</v>
      </c>
    </row>
    <row r="171" spans="9:10">
      <c r="I171" s="34" t="s">
        <v>286</v>
      </c>
      <c r="J171" t="s">
        <v>280</v>
      </c>
    </row>
    <row r="172" spans="9:10">
      <c r="I172" s="34" t="s">
        <v>288</v>
      </c>
      <c r="J172" t="s">
        <v>289</v>
      </c>
    </row>
    <row r="173" spans="9:10">
      <c r="I173" s="34" t="s">
        <v>287</v>
      </c>
      <c r="J173" t="s">
        <v>290</v>
      </c>
    </row>
    <row r="174" spans="9:10">
      <c r="I174" s="34" t="s">
        <v>292</v>
      </c>
      <c r="J174" t="s">
        <v>289</v>
      </c>
    </row>
    <row r="175" spans="9:10">
      <c r="I175" s="34" t="s">
        <v>291</v>
      </c>
      <c r="J175" t="s">
        <v>290</v>
      </c>
    </row>
    <row r="176" spans="9:10">
      <c r="I176" s="34" t="s">
        <v>293</v>
      </c>
      <c r="J176" t="s">
        <v>289</v>
      </c>
    </row>
    <row r="177" spans="9:10">
      <c r="I177" s="34" t="s">
        <v>294</v>
      </c>
      <c r="J177" t="s">
        <v>290</v>
      </c>
    </row>
    <row r="178" spans="9:10">
      <c r="I178" s="34" t="s">
        <v>296</v>
      </c>
      <c r="J178" t="s">
        <v>289</v>
      </c>
    </row>
    <row r="179" spans="9:10">
      <c r="I179" s="34" t="s">
        <v>295</v>
      </c>
      <c r="J179" t="s">
        <v>290</v>
      </c>
    </row>
    <row r="180" spans="9:10">
      <c r="I180" s="127" t="s">
        <v>297</v>
      </c>
      <c r="J180" t="s">
        <v>352</v>
      </c>
    </row>
    <row r="181" spans="9:10">
      <c r="I181" s="34" t="s">
        <v>317</v>
      </c>
      <c r="J181" t="s">
        <v>185</v>
      </c>
    </row>
    <row r="182" spans="9:10">
      <c r="I182" s="34" t="s">
        <v>321</v>
      </c>
      <c r="J182" t="s">
        <v>185</v>
      </c>
    </row>
    <row r="183" spans="9:10">
      <c r="I183" s="34" t="s">
        <v>308</v>
      </c>
      <c r="J183" t="s">
        <v>250</v>
      </c>
    </row>
    <row r="184" spans="9:10">
      <c r="I184" s="34" t="s">
        <v>298</v>
      </c>
      <c r="J184" t="s">
        <v>248</v>
      </c>
    </row>
    <row r="185" spans="9:10">
      <c r="I185" s="34" t="s">
        <v>326</v>
      </c>
      <c r="J185" t="s">
        <v>186</v>
      </c>
    </row>
    <row r="186" spans="9:10">
      <c r="I186" s="34" t="s">
        <v>103</v>
      </c>
      <c r="J186" t="s">
        <v>81</v>
      </c>
    </row>
    <row r="187" spans="9:10">
      <c r="I187" s="34" t="s">
        <v>339</v>
      </c>
      <c r="J187" t="s">
        <v>166</v>
      </c>
    </row>
    <row r="188" spans="9:10">
      <c r="I188" s="34" t="s">
        <v>315</v>
      </c>
      <c r="J188" t="s">
        <v>166</v>
      </c>
    </row>
    <row r="189" spans="9:10">
      <c r="I189" s="34" t="s">
        <v>344</v>
      </c>
      <c r="J189" t="s">
        <v>185</v>
      </c>
    </row>
    <row r="190" spans="9:10">
      <c r="I190" s="34" t="s">
        <v>347</v>
      </c>
      <c r="J190" t="s">
        <v>183</v>
      </c>
    </row>
    <row r="191" spans="9:10">
      <c r="I191" s="34" t="s">
        <v>345</v>
      </c>
      <c r="J191" t="s">
        <v>183</v>
      </c>
    </row>
    <row r="192" spans="9:10">
      <c r="I192" s="34" t="s">
        <v>299</v>
      </c>
      <c r="J192" t="s">
        <v>248</v>
      </c>
    </row>
    <row r="193" spans="9:10">
      <c r="I193" s="34" t="s">
        <v>300</v>
      </c>
      <c r="J193" t="s">
        <v>248</v>
      </c>
    </row>
    <row r="194" spans="9:10">
      <c r="I194" s="34" t="s">
        <v>301</v>
      </c>
      <c r="J194" t="s">
        <v>248</v>
      </c>
    </row>
    <row r="195" spans="9:10">
      <c r="I195" s="34" t="s">
        <v>302</v>
      </c>
      <c r="J195" t="s">
        <v>353</v>
      </c>
    </row>
    <row r="196" spans="9:10">
      <c r="I196" s="34" t="s">
        <v>303</v>
      </c>
      <c r="J196" t="s">
        <v>157</v>
      </c>
    </row>
    <row r="197" spans="9:10">
      <c r="I197" s="34" t="s">
        <v>304</v>
      </c>
      <c r="J197" t="s">
        <v>158</v>
      </c>
    </row>
    <row r="198" spans="9:10">
      <c r="I198" s="34" t="s">
        <v>305</v>
      </c>
      <c r="J198" t="s">
        <v>158</v>
      </c>
    </row>
    <row r="199" spans="9:10">
      <c r="I199" s="34" t="s">
        <v>306</v>
      </c>
      <c r="J199" t="s">
        <v>161</v>
      </c>
    </row>
    <row r="200" spans="9:10">
      <c r="I200" s="34" t="s">
        <v>307</v>
      </c>
      <c r="J200" t="s">
        <v>280</v>
      </c>
    </row>
    <row r="201" spans="9:10">
      <c r="I201" s="34" t="s">
        <v>309</v>
      </c>
      <c r="J201" t="s">
        <v>250</v>
      </c>
    </row>
    <row r="202" spans="9:10">
      <c r="I202" s="34" t="s">
        <v>310</v>
      </c>
      <c r="J202" t="s">
        <v>166</v>
      </c>
    </row>
    <row r="203" spans="9:10">
      <c r="I203" s="34" t="s">
        <v>311</v>
      </c>
      <c r="J203" t="s">
        <v>166</v>
      </c>
    </row>
    <row r="204" spans="9:10">
      <c r="I204" s="34" t="s">
        <v>312</v>
      </c>
      <c r="J204" t="s">
        <v>166</v>
      </c>
    </row>
    <row r="205" spans="9:10">
      <c r="I205" s="34" t="s">
        <v>313</v>
      </c>
      <c r="J205" t="s">
        <v>166</v>
      </c>
    </row>
    <row r="206" spans="9:10">
      <c r="I206" s="34" t="s">
        <v>314</v>
      </c>
      <c r="J206" t="s">
        <v>166</v>
      </c>
    </row>
    <row r="207" spans="9:10">
      <c r="I207" s="34" t="s">
        <v>316</v>
      </c>
      <c r="J207" t="s">
        <v>166</v>
      </c>
    </row>
    <row r="208" spans="9:10">
      <c r="I208" s="34" t="s">
        <v>318</v>
      </c>
      <c r="J208" t="s">
        <v>185</v>
      </c>
    </row>
    <row r="209" spans="9:10">
      <c r="I209" s="34" t="s">
        <v>319</v>
      </c>
      <c r="J209" t="s">
        <v>185</v>
      </c>
    </row>
    <row r="210" spans="9:10">
      <c r="I210" s="34" t="s">
        <v>320</v>
      </c>
      <c r="J210" t="s">
        <v>185</v>
      </c>
    </row>
    <row r="211" spans="9:10">
      <c r="I211" s="34" t="s">
        <v>322</v>
      </c>
      <c r="J211" t="s">
        <v>185</v>
      </c>
    </row>
    <row r="212" spans="9:10">
      <c r="I212" s="34" t="s">
        <v>323</v>
      </c>
      <c r="J212" t="s">
        <v>185</v>
      </c>
    </row>
    <row r="213" spans="9:10">
      <c r="I213" s="34" t="s">
        <v>324</v>
      </c>
      <c r="J213" t="s">
        <v>185</v>
      </c>
    </row>
    <row r="214" spans="9:10">
      <c r="I214" s="34" t="s">
        <v>325</v>
      </c>
      <c r="J214" t="s">
        <v>186</v>
      </c>
    </row>
    <row r="215" spans="9:10">
      <c r="I215" s="34" t="s">
        <v>327</v>
      </c>
      <c r="J215" t="s">
        <v>186</v>
      </c>
    </row>
    <row r="216" spans="9:10">
      <c r="I216" s="34" t="s">
        <v>328</v>
      </c>
      <c r="J216" t="s">
        <v>186</v>
      </c>
    </row>
    <row r="217" spans="9:10">
      <c r="I217" s="34" t="s">
        <v>329</v>
      </c>
      <c r="J217" t="s">
        <v>186</v>
      </c>
    </row>
    <row r="218" spans="9:10">
      <c r="I218" s="34" t="s">
        <v>330</v>
      </c>
      <c r="J218" t="s">
        <v>186</v>
      </c>
    </row>
    <row r="219" spans="9:10">
      <c r="I219" s="34" t="s">
        <v>331</v>
      </c>
      <c r="J219" t="s">
        <v>186</v>
      </c>
    </row>
    <row r="220" spans="9:10">
      <c r="I220" s="34" t="s">
        <v>332</v>
      </c>
      <c r="J220" t="s">
        <v>186</v>
      </c>
    </row>
    <row r="221" spans="9:10">
      <c r="I221" s="34" t="s">
        <v>333</v>
      </c>
      <c r="J221" t="s">
        <v>175</v>
      </c>
    </row>
    <row r="222" spans="9:10">
      <c r="I222" s="34" t="s">
        <v>334</v>
      </c>
      <c r="J222" t="s">
        <v>186</v>
      </c>
    </row>
    <row r="223" spans="9:10">
      <c r="I223" s="34" t="s">
        <v>335</v>
      </c>
      <c r="J223" t="s">
        <v>175</v>
      </c>
    </row>
    <row r="224" spans="9:10">
      <c r="I224" s="34" t="s">
        <v>336</v>
      </c>
      <c r="J224" t="s">
        <v>186</v>
      </c>
    </row>
    <row r="225" spans="9:10">
      <c r="I225" s="34" t="s">
        <v>337</v>
      </c>
      <c r="J225" t="s">
        <v>175</v>
      </c>
    </row>
    <row r="226" spans="9:10">
      <c r="I226" s="34" t="s">
        <v>338</v>
      </c>
      <c r="J226" t="s">
        <v>164</v>
      </c>
    </row>
    <row r="227" spans="9:10">
      <c r="I227" s="34" t="s">
        <v>340</v>
      </c>
      <c r="J227" t="s">
        <v>164</v>
      </c>
    </row>
    <row r="228" spans="9:10">
      <c r="I228" s="34" t="s">
        <v>341</v>
      </c>
      <c r="J228" t="s">
        <v>166</v>
      </c>
    </row>
    <row r="229" spans="9:10">
      <c r="I229" s="34" t="s">
        <v>342</v>
      </c>
      <c r="J229" t="s">
        <v>164</v>
      </c>
    </row>
    <row r="230" spans="9:10">
      <c r="I230" s="34" t="s">
        <v>343</v>
      </c>
      <c r="J230" t="s">
        <v>166</v>
      </c>
    </row>
    <row r="231" spans="9:10">
      <c r="I231" s="34" t="s">
        <v>346</v>
      </c>
      <c r="J231" t="s">
        <v>185</v>
      </c>
    </row>
    <row r="232" spans="9:10">
      <c r="I232" s="34" t="s">
        <v>348</v>
      </c>
      <c r="J232" t="s">
        <v>185</v>
      </c>
    </row>
    <row r="233" spans="9:10">
      <c r="I233" s="34" t="s">
        <v>349</v>
      </c>
      <c r="J233" t="s">
        <v>354</v>
      </c>
    </row>
    <row r="234" spans="9:10">
      <c r="I234" s="34" t="s">
        <v>350</v>
      </c>
      <c r="J234" t="s">
        <v>185</v>
      </c>
    </row>
    <row r="235" spans="9:10">
      <c r="I235" s="34" t="s">
        <v>351</v>
      </c>
      <c r="J235" t="s">
        <v>354</v>
      </c>
    </row>
    <row r="236" spans="9:10">
      <c r="I236" s="34" t="s">
        <v>376</v>
      </c>
      <c r="J236" t="s">
        <v>400</v>
      </c>
    </row>
    <row r="237" spans="9:10">
      <c r="I237" s="34" t="s">
        <v>377</v>
      </c>
      <c r="J237" t="s">
        <v>401</v>
      </c>
    </row>
    <row r="238" spans="9:10">
      <c r="I238" s="34" t="s">
        <v>378</v>
      </c>
      <c r="J238" t="s">
        <v>401</v>
      </c>
    </row>
    <row r="239" spans="9:10">
      <c r="I239" s="34" t="s">
        <v>379</v>
      </c>
      <c r="J239" t="s">
        <v>400</v>
      </c>
    </row>
    <row r="240" spans="9:10">
      <c r="I240" s="34" t="s">
        <v>380</v>
      </c>
      <c r="J240" t="s">
        <v>401</v>
      </c>
    </row>
    <row r="241" spans="9:10">
      <c r="I241" s="34" t="s">
        <v>381</v>
      </c>
      <c r="J241" t="s">
        <v>400</v>
      </c>
    </row>
    <row r="242" spans="9:10">
      <c r="I242" s="34" t="s">
        <v>382</v>
      </c>
      <c r="J242" t="s">
        <v>400</v>
      </c>
    </row>
    <row r="243" spans="9:10">
      <c r="I243" s="34" t="s">
        <v>383</v>
      </c>
      <c r="J243" t="s">
        <v>401</v>
      </c>
    </row>
    <row r="244" spans="9:10">
      <c r="I244" s="34" t="s">
        <v>384</v>
      </c>
      <c r="J244" t="s">
        <v>402</v>
      </c>
    </row>
    <row r="245" spans="9:10">
      <c r="I245" s="34" t="s">
        <v>385</v>
      </c>
      <c r="J245" t="s">
        <v>403</v>
      </c>
    </row>
    <row r="246" spans="9:10">
      <c r="I246" s="34" t="s">
        <v>386</v>
      </c>
      <c r="J246" t="s">
        <v>402</v>
      </c>
    </row>
    <row r="247" spans="9:10">
      <c r="I247" s="34" t="s">
        <v>387</v>
      </c>
      <c r="J247" t="s">
        <v>403</v>
      </c>
    </row>
    <row r="248" spans="9:10">
      <c r="I248" s="34" t="s">
        <v>388</v>
      </c>
      <c r="J248" t="s">
        <v>402</v>
      </c>
    </row>
    <row r="249" spans="9:10">
      <c r="I249" s="34" t="s">
        <v>389</v>
      </c>
      <c r="J249" t="s">
        <v>403</v>
      </c>
    </row>
    <row r="250" spans="9:10">
      <c r="I250" s="34" t="s">
        <v>390</v>
      </c>
      <c r="J250" t="s">
        <v>402</v>
      </c>
    </row>
    <row r="251" spans="9:10">
      <c r="I251" s="34" t="s">
        <v>391</v>
      </c>
      <c r="J251" t="s">
        <v>403</v>
      </c>
    </row>
    <row r="252" spans="9:10">
      <c r="I252" s="34" t="s">
        <v>392</v>
      </c>
      <c r="J252" t="s">
        <v>402</v>
      </c>
    </row>
    <row r="253" spans="9:10">
      <c r="I253" s="34" t="s">
        <v>393</v>
      </c>
      <c r="J253" t="s">
        <v>403</v>
      </c>
    </row>
    <row r="254" spans="9:10">
      <c r="I254" s="34" t="s">
        <v>394</v>
      </c>
      <c r="J254" t="s">
        <v>402</v>
      </c>
    </row>
    <row r="255" spans="9:10">
      <c r="I255" s="34" t="s">
        <v>395</v>
      </c>
      <c r="J255" t="s">
        <v>403</v>
      </c>
    </row>
    <row r="256" spans="9:10">
      <c r="I256" s="34" t="s">
        <v>396</v>
      </c>
      <c r="J256" t="s">
        <v>404</v>
      </c>
    </row>
    <row r="257" spans="9:10">
      <c r="I257" s="34" t="s">
        <v>397</v>
      </c>
      <c r="J257" t="s">
        <v>404</v>
      </c>
    </row>
    <row r="258" spans="9:10">
      <c r="I258" s="34" t="s">
        <v>398</v>
      </c>
      <c r="J258" t="s">
        <v>405</v>
      </c>
    </row>
    <row r="259" spans="9:10">
      <c r="I259" s="34" t="s">
        <v>399</v>
      </c>
      <c r="J259" t="s">
        <v>406</v>
      </c>
    </row>
    <row r="260" spans="9:10">
      <c r="I260" s="34" t="s">
        <v>407</v>
      </c>
      <c r="J260" t="s">
        <v>408</v>
      </c>
    </row>
    <row r="261" spans="9:10">
      <c r="I261" s="34" t="s">
        <v>409</v>
      </c>
      <c r="J261" t="s">
        <v>406</v>
      </c>
    </row>
    <row r="262" spans="9:10">
      <c r="I262" s="34" t="s">
        <v>411</v>
      </c>
      <c r="J262" t="s">
        <v>415</v>
      </c>
    </row>
    <row r="263" spans="9:10">
      <c r="I263" s="34" t="s">
        <v>412</v>
      </c>
      <c r="J263" t="s">
        <v>416</v>
      </c>
    </row>
    <row r="264" spans="9:10">
      <c r="I264" s="34" t="s">
        <v>413</v>
      </c>
      <c r="J264" t="s">
        <v>417</v>
      </c>
    </row>
    <row r="265" spans="9:10">
      <c r="I265" s="34" t="s">
        <v>414</v>
      </c>
      <c r="J265" t="s">
        <v>418</v>
      </c>
    </row>
    <row r="266" spans="9:10">
      <c r="I266" s="34" t="s">
        <v>419</v>
      </c>
      <c r="J266" t="s">
        <v>415</v>
      </c>
    </row>
    <row r="267" spans="9:10">
      <c r="I267" s="34" t="s">
        <v>420</v>
      </c>
      <c r="J267" t="s">
        <v>415</v>
      </c>
    </row>
    <row r="268" spans="9:10">
      <c r="I268" s="34" t="s">
        <v>426</v>
      </c>
      <c r="J268" t="s">
        <v>461</v>
      </c>
    </row>
    <row r="269" spans="9:10">
      <c r="I269" s="34" t="s">
        <v>427</v>
      </c>
      <c r="J269" t="s">
        <v>463</v>
      </c>
    </row>
    <row r="270" spans="9:10">
      <c r="I270" s="34" t="s">
        <v>428</v>
      </c>
      <c r="J270" t="s">
        <v>462</v>
      </c>
    </row>
    <row r="271" spans="9:10">
      <c r="I271" s="34" t="s">
        <v>429</v>
      </c>
      <c r="J271" t="s">
        <v>462</v>
      </c>
    </row>
    <row r="272" spans="9:10">
      <c r="I272" s="34" t="s">
        <v>430</v>
      </c>
      <c r="J272" t="s">
        <v>462</v>
      </c>
    </row>
    <row r="273" spans="9:10">
      <c r="I273" s="34" t="s">
        <v>431</v>
      </c>
      <c r="J273" t="s">
        <v>463</v>
      </c>
    </row>
    <row r="274" spans="9:10">
      <c r="I274" s="34" t="s">
        <v>432</v>
      </c>
      <c r="J274" t="s">
        <v>463</v>
      </c>
    </row>
    <row r="275" spans="9:10">
      <c r="I275" s="34" t="s">
        <v>433</v>
      </c>
      <c r="J275" t="s">
        <v>463</v>
      </c>
    </row>
    <row r="276" spans="9:10">
      <c r="I276" s="34" t="s">
        <v>434</v>
      </c>
      <c r="J276" t="s">
        <v>462</v>
      </c>
    </row>
    <row r="277" spans="9:10">
      <c r="I277" s="34" t="s">
        <v>435</v>
      </c>
      <c r="J277" t="s">
        <v>464</v>
      </c>
    </row>
    <row r="278" spans="9:10">
      <c r="I278" s="34" t="s">
        <v>436</v>
      </c>
      <c r="J278" t="s">
        <v>463</v>
      </c>
    </row>
    <row r="279" spans="9:10">
      <c r="I279" s="34" t="s">
        <v>437</v>
      </c>
      <c r="J279" t="s">
        <v>462</v>
      </c>
    </row>
    <row r="280" spans="9:10">
      <c r="I280" s="34" t="s">
        <v>438</v>
      </c>
      <c r="J280" t="s">
        <v>463</v>
      </c>
    </row>
    <row r="281" spans="9:10">
      <c r="I281" s="34" t="s">
        <v>439</v>
      </c>
      <c r="J281" t="s">
        <v>465</v>
      </c>
    </row>
    <row r="282" spans="9:10">
      <c r="I282" s="34" t="s">
        <v>440</v>
      </c>
      <c r="J282" t="s">
        <v>466</v>
      </c>
    </row>
    <row r="283" spans="9:10">
      <c r="I283" s="34" t="s">
        <v>441</v>
      </c>
      <c r="J283" t="s">
        <v>465</v>
      </c>
    </row>
    <row r="284" spans="9:10">
      <c r="I284" s="34" t="s">
        <v>442</v>
      </c>
      <c r="J284" t="s">
        <v>467</v>
      </c>
    </row>
    <row r="285" spans="9:10">
      <c r="I285" s="34" t="s">
        <v>443</v>
      </c>
      <c r="J285" t="s">
        <v>468</v>
      </c>
    </row>
    <row r="286" spans="9:10">
      <c r="I286" s="34" t="s">
        <v>444</v>
      </c>
      <c r="J286" t="s">
        <v>468</v>
      </c>
    </row>
    <row r="287" spans="9:10">
      <c r="I287" s="34" t="s">
        <v>445</v>
      </c>
      <c r="J287" t="s">
        <v>464</v>
      </c>
    </row>
    <row r="288" spans="9:10">
      <c r="I288" s="34" t="s">
        <v>446</v>
      </c>
      <c r="J288" t="s">
        <v>469</v>
      </c>
    </row>
    <row r="289" spans="9:10">
      <c r="I289" s="34" t="s">
        <v>447</v>
      </c>
      <c r="J289" t="s">
        <v>469</v>
      </c>
    </row>
    <row r="290" spans="9:10">
      <c r="I290" s="34" t="s">
        <v>448</v>
      </c>
      <c r="J290" t="s">
        <v>154</v>
      </c>
    </row>
    <row r="291" spans="9:10">
      <c r="I291" s="34" t="s">
        <v>449</v>
      </c>
      <c r="J291" t="s">
        <v>470</v>
      </c>
    </row>
    <row r="292" spans="9:10">
      <c r="I292" s="34" t="s">
        <v>450</v>
      </c>
      <c r="J292" t="s">
        <v>154</v>
      </c>
    </row>
    <row r="293" spans="9:10">
      <c r="I293" s="34" t="s">
        <v>451</v>
      </c>
      <c r="J293" t="s">
        <v>471</v>
      </c>
    </row>
    <row r="294" spans="9:10">
      <c r="I294" s="34" t="s">
        <v>452</v>
      </c>
      <c r="J294" t="s">
        <v>471</v>
      </c>
    </row>
    <row r="295" spans="9:10">
      <c r="I295" s="34" t="s">
        <v>453</v>
      </c>
      <c r="J295" t="s">
        <v>467</v>
      </c>
    </row>
    <row r="296" spans="9:10">
      <c r="I296" s="34" t="s">
        <v>454</v>
      </c>
      <c r="J296" t="s">
        <v>466</v>
      </c>
    </row>
    <row r="297" spans="9:10">
      <c r="I297" s="34" t="s">
        <v>455</v>
      </c>
      <c r="J297" t="s">
        <v>280</v>
      </c>
    </row>
    <row r="298" spans="9:10">
      <c r="I298" s="34" t="s">
        <v>456</v>
      </c>
      <c r="J298" t="s">
        <v>472</v>
      </c>
    </row>
    <row r="299" spans="9:10">
      <c r="I299" s="34" t="s">
        <v>457</v>
      </c>
      <c r="J299" t="s">
        <v>160</v>
      </c>
    </row>
    <row r="300" spans="9:10">
      <c r="I300" s="34" t="s">
        <v>458</v>
      </c>
      <c r="J300" t="s">
        <v>473</v>
      </c>
    </row>
    <row r="301" spans="9:10">
      <c r="I301" s="34" t="s">
        <v>459</v>
      </c>
      <c r="J301" t="s">
        <v>160</v>
      </c>
    </row>
    <row r="302" spans="9:10">
      <c r="I302" s="34" t="s">
        <v>460</v>
      </c>
      <c r="J302" t="s">
        <v>473</v>
      </c>
    </row>
    <row r="303" spans="9:10">
      <c r="I303" s="34" t="s">
        <v>474</v>
      </c>
      <c r="J303" t="s">
        <v>470</v>
      </c>
    </row>
    <row r="304" spans="9:10">
      <c r="I304" s="34" t="s">
        <v>475</v>
      </c>
      <c r="J304" t="s">
        <v>478</v>
      </c>
    </row>
    <row r="305" spans="9:10">
      <c r="I305" s="34" t="s">
        <v>476</v>
      </c>
      <c r="J305" t="s">
        <v>478</v>
      </c>
    </row>
    <row r="306" spans="9:10">
      <c r="I306" s="34" t="s">
        <v>477</v>
      </c>
      <c r="J306" t="s">
        <v>478</v>
      </c>
    </row>
    <row r="307" spans="9:10">
      <c r="I307" s="34" t="s">
        <v>479</v>
      </c>
      <c r="J307" t="s">
        <v>280</v>
      </c>
    </row>
    <row r="308" spans="9:10">
      <c r="I308" s="34" t="s">
        <v>480</v>
      </c>
      <c r="J308" t="s">
        <v>484</v>
      </c>
    </row>
    <row r="309" spans="9:10">
      <c r="I309" s="34" t="s">
        <v>481</v>
      </c>
      <c r="J309" t="s">
        <v>484</v>
      </c>
    </row>
    <row r="310" spans="9:10">
      <c r="I310" s="34" t="s">
        <v>482</v>
      </c>
      <c r="J310" t="s">
        <v>484</v>
      </c>
    </row>
    <row r="311" spans="9:10">
      <c r="I311" s="34" t="s">
        <v>483</v>
      </c>
      <c r="J311" t="s">
        <v>484</v>
      </c>
    </row>
    <row r="312" spans="9:10">
      <c r="I312" s="34" t="s">
        <v>485</v>
      </c>
      <c r="J312" t="s">
        <v>484</v>
      </c>
    </row>
    <row r="313" spans="9:10">
      <c r="I313" s="34" t="s">
        <v>486</v>
      </c>
      <c r="J313" t="s">
        <v>484</v>
      </c>
    </row>
    <row r="314" spans="9:10">
      <c r="I314" s="34" t="s">
        <v>492</v>
      </c>
      <c r="J314" t="s">
        <v>149</v>
      </c>
    </row>
    <row r="315" spans="9:10">
      <c r="I315" s="34" t="s">
        <v>493</v>
      </c>
      <c r="J315" t="s">
        <v>79</v>
      </c>
    </row>
    <row r="316" spans="9:10">
      <c r="I316" s="34" t="s">
        <v>494</v>
      </c>
      <c r="J316" t="s">
        <v>79</v>
      </c>
    </row>
    <row r="317" spans="9:10">
      <c r="I317" s="34" t="s">
        <v>495</v>
      </c>
      <c r="J317" t="s">
        <v>149</v>
      </c>
    </row>
    <row r="318" spans="9:10">
      <c r="I318" s="34" t="s">
        <v>496</v>
      </c>
      <c r="J318" t="s">
        <v>80</v>
      </c>
    </row>
    <row r="319" spans="9:10">
      <c r="I319" s="34" t="s">
        <v>497</v>
      </c>
      <c r="J319" t="s">
        <v>79</v>
      </c>
    </row>
    <row r="320" spans="9:10">
      <c r="I320" s="34" t="s">
        <v>498</v>
      </c>
      <c r="J320" t="s">
        <v>80</v>
      </c>
    </row>
    <row r="321" spans="9:10">
      <c r="I321" s="34" t="s">
        <v>499</v>
      </c>
      <c r="J321" t="s">
        <v>149</v>
      </c>
    </row>
    <row r="322" spans="9:10">
      <c r="I322" s="34" t="s">
        <v>500</v>
      </c>
      <c r="J322" t="s">
        <v>149</v>
      </c>
    </row>
    <row r="323" spans="9:10">
      <c r="I323" s="34" t="s">
        <v>501</v>
      </c>
      <c r="J323" t="s">
        <v>150</v>
      </c>
    </row>
    <row r="324" spans="9:10">
      <c r="I324" s="34" t="s">
        <v>502</v>
      </c>
      <c r="J324" t="s">
        <v>79</v>
      </c>
    </row>
    <row r="325" spans="9:10">
      <c r="I325" s="34" t="s">
        <v>503</v>
      </c>
      <c r="J325" t="s">
        <v>186</v>
      </c>
    </row>
    <row r="326" spans="9:10">
      <c r="I326" s="34" t="s">
        <v>504</v>
      </c>
      <c r="J326" t="s">
        <v>186</v>
      </c>
    </row>
    <row r="327" spans="9:10">
      <c r="I327" s="34" t="s">
        <v>505</v>
      </c>
      <c r="J327" t="s">
        <v>186</v>
      </c>
    </row>
    <row r="328" spans="9:10">
      <c r="I328" s="34" t="s">
        <v>506</v>
      </c>
      <c r="J328" t="s">
        <v>79</v>
      </c>
    </row>
    <row r="329" spans="9:10">
      <c r="I329" s="34" t="s">
        <v>507</v>
      </c>
      <c r="J329" t="s">
        <v>149</v>
      </c>
    </row>
    <row r="330" spans="9:10">
      <c r="I330" s="34" t="s">
        <v>508</v>
      </c>
      <c r="J330" t="s">
        <v>80</v>
      </c>
    </row>
    <row r="331" spans="9:10">
      <c r="I331" s="34" t="s">
        <v>509</v>
      </c>
      <c r="J331" t="s">
        <v>80</v>
      </c>
    </row>
    <row r="332" spans="9:10">
      <c r="I332" s="34" t="s">
        <v>510</v>
      </c>
      <c r="J332" t="s">
        <v>79</v>
      </c>
    </row>
    <row r="333" spans="9:10">
      <c r="I333" s="34" t="s">
        <v>511</v>
      </c>
      <c r="J333" t="s">
        <v>151</v>
      </c>
    </row>
    <row r="334" spans="9:10">
      <c r="I334" s="34" t="s">
        <v>512</v>
      </c>
      <c r="J334" t="s">
        <v>150</v>
      </c>
    </row>
    <row r="335" spans="9:10">
      <c r="I335" s="34" t="s">
        <v>513</v>
      </c>
      <c r="J335" t="s">
        <v>151</v>
      </c>
    </row>
    <row r="336" spans="9:10">
      <c r="I336" s="34" t="s">
        <v>514</v>
      </c>
      <c r="J336" t="s">
        <v>152</v>
      </c>
    </row>
    <row r="337" spans="9:10">
      <c r="I337" s="34" t="s">
        <v>515</v>
      </c>
      <c r="J337" t="s">
        <v>153</v>
      </c>
    </row>
    <row r="338" spans="9:10">
      <c r="I338" s="34" t="s">
        <v>516</v>
      </c>
      <c r="J338" t="s">
        <v>152</v>
      </c>
    </row>
    <row r="339" spans="9:10">
      <c r="I339" s="34" t="s">
        <v>517</v>
      </c>
      <c r="J339" t="s">
        <v>153</v>
      </c>
    </row>
    <row r="340" spans="9:10">
      <c r="I340" s="34" t="s">
        <v>518</v>
      </c>
      <c r="J340" t="s">
        <v>155</v>
      </c>
    </row>
    <row r="341" spans="9:10">
      <c r="I341" s="34" t="s">
        <v>519</v>
      </c>
      <c r="J341" t="s">
        <v>155</v>
      </c>
    </row>
    <row r="342" spans="9:10">
      <c r="I342" s="34" t="s">
        <v>520</v>
      </c>
      <c r="J342" t="s">
        <v>258</v>
      </c>
    </row>
    <row r="343" spans="9:10">
      <c r="I343" s="34" t="s">
        <v>521</v>
      </c>
      <c r="J343" t="s">
        <v>259</v>
      </c>
    </row>
    <row r="344" spans="9:10">
      <c r="I344" s="34" t="s">
        <v>522</v>
      </c>
      <c r="J344" t="s">
        <v>258</v>
      </c>
    </row>
    <row r="345" spans="9:10">
      <c r="I345" s="34" t="s">
        <v>523</v>
      </c>
      <c r="J345" t="s">
        <v>538</v>
      </c>
    </row>
    <row r="346" spans="9:10">
      <c r="I346" s="34" t="s">
        <v>524</v>
      </c>
      <c r="J346" t="s">
        <v>539</v>
      </c>
    </row>
    <row r="347" spans="9:10">
      <c r="I347" s="34" t="s">
        <v>525</v>
      </c>
      <c r="J347" t="s">
        <v>538</v>
      </c>
    </row>
    <row r="348" spans="9:10">
      <c r="I348" s="34" t="s">
        <v>526</v>
      </c>
      <c r="J348" t="s">
        <v>539</v>
      </c>
    </row>
    <row r="349" spans="9:10">
      <c r="I349" s="34" t="s">
        <v>527</v>
      </c>
      <c r="J349" t="s">
        <v>159</v>
      </c>
    </row>
    <row r="350" spans="9:10">
      <c r="I350" s="34" t="s">
        <v>528</v>
      </c>
      <c r="J350" t="s">
        <v>159</v>
      </c>
    </row>
    <row r="351" spans="9:10">
      <c r="I351" s="34" t="s">
        <v>529</v>
      </c>
      <c r="J351" t="s">
        <v>161</v>
      </c>
    </row>
    <row r="352" spans="9:10">
      <c r="I352" s="34" t="s">
        <v>530</v>
      </c>
      <c r="J352" t="s">
        <v>161</v>
      </c>
    </row>
    <row r="353" spans="9:10">
      <c r="I353" s="34" t="s">
        <v>531</v>
      </c>
      <c r="J353" t="s">
        <v>166</v>
      </c>
    </row>
    <row r="354" spans="9:10">
      <c r="I354" s="34" t="s">
        <v>532</v>
      </c>
      <c r="J354" t="s">
        <v>166</v>
      </c>
    </row>
    <row r="355" spans="9:10">
      <c r="I355" s="34" t="s">
        <v>533</v>
      </c>
      <c r="J355" t="s">
        <v>166</v>
      </c>
    </row>
    <row r="356" spans="9:10">
      <c r="I356" s="34" t="s">
        <v>534</v>
      </c>
      <c r="J356" t="s">
        <v>186</v>
      </c>
    </row>
    <row r="357" spans="9:10">
      <c r="I357" s="34" t="s">
        <v>535</v>
      </c>
      <c r="J357" t="s">
        <v>149</v>
      </c>
    </row>
    <row r="358" spans="9:10">
      <c r="I358" s="34" t="s">
        <v>537</v>
      </c>
      <c r="J358" t="s">
        <v>259</v>
      </c>
    </row>
    <row r="359" spans="9:10">
      <c r="I359" s="34" t="s">
        <v>562</v>
      </c>
      <c r="J359" t="s">
        <v>563</v>
      </c>
    </row>
    <row r="360" spans="9:10">
      <c r="I360" s="34" t="s">
        <v>561</v>
      </c>
      <c r="J360" t="s">
        <v>563</v>
      </c>
    </row>
    <row r="361" spans="9:10">
      <c r="I361" s="34" t="s">
        <v>568</v>
      </c>
      <c r="J361" t="s">
        <v>400</v>
      </c>
    </row>
    <row r="362" spans="9:10">
      <c r="I362" s="34" t="s">
        <v>569</v>
      </c>
      <c r="J362" t="s">
        <v>81</v>
      </c>
    </row>
    <row r="363" spans="9:10">
      <c r="I363" s="34" t="s">
        <v>570</v>
      </c>
      <c r="J363" t="s">
        <v>185</v>
      </c>
    </row>
    <row r="364" spans="9:10">
      <c r="I364" s="34" t="s">
        <v>571</v>
      </c>
      <c r="J364" t="s">
        <v>401</v>
      </c>
    </row>
    <row r="365" spans="9:10">
      <c r="I365" s="34" t="s">
        <v>572</v>
      </c>
      <c r="J365" t="s">
        <v>400</v>
      </c>
    </row>
    <row r="366" spans="9:10">
      <c r="I366" s="34" t="s">
        <v>573</v>
      </c>
      <c r="J366" t="s">
        <v>185</v>
      </c>
    </row>
    <row r="367" spans="9:10">
      <c r="I367" s="34" t="s">
        <v>574</v>
      </c>
      <c r="J367" t="s">
        <v>81</v>
      </c>
    </row>
    <row r="368" spans="9:10">
      <c r="I368" s="34" t="s">
        <v>575</v>
      </c>
      <c r="J368" t="s">
        <v>400</v>
      </c>
    </row>
    <row r="369" spans="9:10">
      <c r="I369" s="34" t="s">
        <v>576</v>
      </c>
      <c r="J369" t="s">
        <v>401</v>
      </c>
    </row>
    <row r="370" spans="9:10">
      <c r="I370" s="34" t="s">
        <v>577</v>
      </c>
      <c r="J370" t="s">
        <v>401</v>
      </c>
    </row>
    <row r="371" spans="9:10">
      <c r="I371" s="34" t="s">
        <v>578</v>
      </c>
      <c r="J371" t="s">
        <v>400</v>
      </c>
    </row>
    <row r="372" spans="9:10">
      <c r="I372" s="34" t="s">
        <v>579</v>
      </c>
      <c r="J372" t="s">
        <v>401</v>
      </c>
    </row>
    <row r="373" spans="9:10">
      <c r="I373" s="34" t="s">
        <v>580</v>
      </c>
      <c r="J373" t="s">
        <v>280</v>
      </c>
    </row>
    <row r="374" spans="9:10">
      <c r="I374" s="34" t="s">
        <v>581</v>
      </c>
      <c r="J374" t="s">
        <v>583</v>
      </c>
    </row>
    <row r="375" spans="9:10">
      <c r="I375" s="34" t="s">
        <v>582</v>
      </c>
      <c r="J375" t="s">
        <v>583</v>
      </c>
    </row>
    <row r="376" spans="9:10">
      <c r="I376" s="34" t="s">
        <v>584</v>
      </c>
      <c r="J376" t="s">
        <v>185</v>
      </c>
    </row>
    <row r="377" spans="9:10">
      <c r="I377" s="34" t="s">
        <v>585</v>
      </c>
      <c r="J377" t="s">
        <v>81</v>
      </c>
    </row>
    <row r="378" spans="9:10">
      <c r="I378" s="34" t="s">
        <v>586</v>
      </c>
      <c r="J378" t="s">
        <v>185</v>
      </c>
    </row>
    <row r="379" spans="9:10">
      <c r="I379" s="34" t="s">
        <v>587</v>
      </c>
      <c r="J379" t="s">
        <v>81</v>
      </c>
    </row>
    <row r="380" spans="9:10">
      <c r="I380" s="34" t="s">
        <v>588</v>
      </c>
      <c r="J380" t="s">
        <v>590</v>
      </c>
    </row>
    <row r="381" spans="9:10">
      <c r="I381" s="34" t="s">
        <v>589</v>
      </c>
      <c r="J381" t="s">
        <v>590</v>
      </c>
    </row>
    <row r="382" spans="9:10">
      <c r="I382" s="34" t="s">
        <v>591</v>
      </c>
      <c r="J382" t="s">
        <v>280</v>
      </c>
    </row>
    <row r="383" spans="9:10">
      <c r="I383" s="34" t="s">
        <v>597</v>
      </c>
      <c r="J383" t="s">
        <v>601</v>
      </c>
    </row>
    <row r="384" spans="9:10">
      <c r="I384" s="34" t="s">
        <v>598</v>
      </c>
      <c r="J384" t="s">
        <v>603</v>
      </c>
    </row>
    <row r="385" spans="9:10">
      <c r="I385" s="34" t="s">
        <v>599</v>
      </c>
      <c r="J385" t="s">
        <v>601</v>
      </c>
    </row>
    <row r="386" spans="9:10">
      <c r="I386" s="34" t="s">
        <v>600</v>
      </c>
      <c r="J386" t="s">
        <v>603</v>
      </c>
    </row>
    <row r="387" spans="9:10">
      <c r="I387" s="34" t="s">
        <v>606</v>
      </c>
      <c r="J387" t="s">
        <v>601</v>
      </c>
    </row>
    <row r="388" spans="9:10">
      <c r="I388" s="34" t="s">
        <v>607</v>
      </c>
      <c r="J388" t="s">
        <v>603</v>
      </c>
    </row>
    <row r="389" spans="9:10">
      <c r="I389" s="34" t="s">
        <v>608</v>
      </c>
      <c r="J389" t="s">
        <v>601</v>
      </c>
    </row>
    <row r="390" spans="9:10">
      <c r="I390" s="34" t="s">
        <v>609</v>
      </c>
      <c r="J390" t="s">
        <v>603</v>
      </c>
    </row>
    <row r="391" spans="9:10">
      <c r="I391" s="34" t="s">
        <v>615</v>
      </c>
      <c r="J391" t="s">
        <v>635</v>
      </c>
    </row>
    <row r="392" spans="9:10">
      <c r="I392" s="34" t="s">
        <v>616</v>
      </c>
      <c r="J392" t="s">
        <v>638</v>
      </c>
    </row>
    <row r="393" spans="9:10">
      <c r="I393" s="34" t="s">
        <v>617</v>
      </c>
      <c r="J393" t="s">
        <v>461</v>
      </c>
    </row>
    <row r="394" spans="9:10">
      <c r="I394" s="34" t="s">
        <v>618</v>
      </c>
      <c r="J394" t="s">
        <v>635</v>
      </c>
    </row>
    <row r="395" spans="9:10">
      <c r="I395" s="34" t="s">
        <v>619</v>
      </c>
      <c r="J395" t="s">
        <v>639</v>
      </c>
    </row>
    <row r="396" spans="9:10">
      <c r="I396" s="34" t="s">
        <v>620</v>
      </c>
      <c r="J396" t="s">
        <v>639</v>
      </c>
    </row>
    <row r="397" spans="9:10">
      <c r="I397" s="34" t="s">
        <v>621</v>
      </c>
      <c r="J397" t="s">
        <v>638</v>
      </c>
    </row>
    <row r="398" spans="9:10">
      <c r="I398" s="34" t="s">
        <v>622</v>
      </c>
      <c r="J398" t="s">
        <v>461</v>
      </c>
    </row>
    <row r="399" spans="9:10">
      <c r="I399" s="34" t="s">
        <v>623</v>
      </c>
      <c r="J399" t="s">
        <v>461</v>
      </c>
    </row>
    <row r="400" spans="9:10">
      <c r="I400" s="34" t="s">
        <v>624</v>
      </c>
      <c r="J400" t="s">
        <v>638</v>
      </c>
    </row>
    <row r="401" spans="9:10">
      <c r="I401" s="34" t="s">
        <v>625</v>
      </c>
      <c r="J401" t="s">
        <v>638</v>
      </c>
    </row>
    <row r="402" spans="9:10">
      <c r="I402" s="34" t="s">
        <v>626</v>
      </c>
      <c r="J402" t="s">
        <v>639</v>
      </c>
    </row>
    <row r="403" spans="9:10">
      <c r="I403" s="34" t="s">
        <v>627</v>
      </c>
      <c r="J403" t="s">
        <v>639</v>
      </c>
    </row>
    <row r="404" spans="9:10">
      <c r="I404" s="34" t="s">
        <v>628</v>
      </c>
      <c r="J404" t="s">
        <v>461</v>
      </c>
    </row>
    <row r="405" spans="9:10">
      <c r="I405" s="34" t="s">
        <v>629</v>
      </c>
      <c r="J405" t="s">
        <v>461</v>
      </c>
    </row>
    <row r="406" spans="9:10">
      <c r="I406" s="34" t="s">
        <v>630</v>
      </c>
      <c r="J406" t="s">
        <v>636</v>
      </c>
    </row>
    <row r="407" spans="9:10">
      <c r="I407" s="34" t="s">
        <v>631</v>
      </c>
      <c r="J407" t="s">
        <v>636</v>
      </c>
    </row>
    <row r="408" spans="9:10">
      <c r="I408" s="34" t="s">
        <v>632</v>
      </c>
      <c r="J408" t="s">
        <v>635</v>
      </c>
    </row>
    <row r="409" spans="9:10">
      <c r="I409" s="34" t="s">
        <v>633</v>
      </c>
      <c r="J409" t="s">
        <v>635</v>
      </c>
    </row>
    <row r="410" spans="9:10">
      <c r="I410" s="34" t="s">
        <v>634</v>
      </c>
      <c r="J410" t="s">
        <v>635</v>
      </c>
    </row>
  </sheetData>
  <autoFilter ref="A1:G22" xr:uid="{00000000-0001-0000-0400-000000000000}">
    <sortState xmlns:xlrd2="http://schemas.microsoft.com/office/spreadsheetml/2017/richdata2" ref="A2:G67">
      <sortCondition descending="1" ref="F1:F22"/>
    </sortState>
  </autoFilter>
  <sortState xmlns:xlrd2="http://schemas.microsoft.com/office/spreadsheetml/2017/richdata2" ref="A2:G55">
    <sortCondition descending="1" ref="F1:F55"/>
  </sortState>
  <phoneticPr fontId="2" type="noConversion"/>
  <conditionalFormatting sqref="A52:A177 I2:I179">
    <cfRule type="duplicateValues" dxfId="4" priority="2"/>
  </conditionalFormatting>
  <conditionalFormatting sqref="I1:I1048576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4"/>
  </sheetPr>
  <dimension ref="A1:J1117"/>
  <sheetViews>
    <sheetView topLeftCell="A208" zoomScale="85" zoomScaleNormal="85" workbookViewId="0">
      <selection activeCell="M245" sqref="M245"/>
    </sheetView>
  </sheetViews>
  <sheetFormatPr defaultRowHeight="16.5"/>
  <cols>
    <col min="1" max="1" width="11.5" bestFit="1" customWidth="1"/>
    <col min="3" max="3" width="32.5" bestFit="1" customWidth="1"/>
    <col min="7" max="7" width="9" customWidth="1"/>
  </cols>
  <sheetData>
    <row r="1" spans="1:10">
      <c r="A1" s="44" t="s">
        <v>48</v>
      </c>
      <c r="B1" s="48" t="s">
        <v>67</v>
      </c>
      <c r="C1" s="45" t="s">
        <v>20</v>
      </c>
      <c r="D1" s="46" t="s">
        <v>46</v>
      </c>
      <c r="E1" s="47" t="s">
        <v>1</v>
      </c>
      <c r="F1" s="47" t="s">
        <v>3</v>
      </c>
      <c r="G1" s="47" t="s">
        <v>49</v>
      </c>
      <c r="H1" s="47" t="s">
        <v>50</v>
      </c>
      <c r="I1" s="36" t="s">
        <v>47</v>
      </c>
      <c r="J1" s="36"/>
    </row>
    <row r="2" spans="1:10">
      <c r="A2" s="39" t="s">
        <v>658</v>
      </c>
      <c r="B2" t="s">
        <v>62</v>
      </c>
      <c r="C2" s="37" t="s">
        <v>564</v>
      </c>
      <c r="D2" s="38" t="s">
        <v>40</v>
      </c>
      <c r="E2" s="37">
        <v>288</v>
      </c>
      <c r="F2" s="37">
        <v>7</v>
      </c>
      <c r="G2" s="40">
        <v>55616</v>
      </c>
      <c r="H2" s="37">
        <v>2</v>
      </c>
      <c r="I2" s="37"/>
    </row>
    <row r="3" spans="1:10">
      <c r="A3" s="39" t="s">
        <v>661</v>
      </c>
      <c r="B3" t="s">
        <v>62</v>
      </c>
      <c r="C3" s="37" t="s">
        <v>564</v>
      </c>
      <c r="D3" s="38" t="s">
        <v>40</v>
      </c>
      <c r="E3" s="37">
        <v>342</v>
      </c>
      <c r="F3" s="37">
        <v>11</v>
      </c>
      <c r="G3" s="37">
        <v>95381</v>
      </c>
      <c r="H3" s="37">
        <v>0</v>
      </c>
      <c r="I3" s="37"/>
    </row>
    <row r="4" spans="1:10">
      <c r="A4" s="39" t="s">
        <v>662</v>
      </c>
      <c r="B4" t="s">
        <v>62</v>
      </c>
      <c r="C4" s="37" t="s">
        <v>564</v>
      </c>
      <c r="D4" s="38" t="s">
        <v>40</v>
      </c>
      <c r="E4" s="37">
        <v>414</v>
      </c>
      <c r="F4" s="37">
        <v>7</v>
      </c>
      <c r="G4" s="40">
        <v>69454</v>
      </c>
      <c r="H4" s="37">
        <v>1</v>
      </c>
      <c r="I4" s="37"/>
    </row>
    <row r="5" spans="1:10">
      <c r="A5" s="39" t="s">
        <v>663</v>
      </c>
      <c r="B5" t="s">
        <v>62</v>
      </c>
      <c r="C5" s="37" t="s">
        <v>564</v>
      </c>
      <c r="D5" s="38" t="s">
        <v>40</v>
      </c>
      <c r="E5" s="37">
        <v>278</v>
      </c>
      <c r="F5" s="37">
        <v>8</v>
      </c>
      <c r="G5" s="37">
        <v>76131</v>
      </c>
      <c r="H5" s="37">
        <v>2</v>
      </c>
      <c r="I5" s="37"/>
    </row>
    <row r="6" spans="1:10">
      <c r="A6" s="39" t="s">
        <v>664</v>
      </c>
      <c r="B6" t="s">
        <v>62</v>
      </c>
      <c r="C6" s="37" t="s">
        <v>564</v>
      </c>
      <c r="D6" s="38" t="s">
        <v>40</v>
      </c>
      <c r="E6" s="37">
        <v>356</v>
      </c>
      <c r="F6" s="37">
        <v>7</v>
      </c>
      <c r="G6" s="37">
        <v>52558</v>
      </c>
      <c r="H6" s="37">
        <v>0</v>
      </c>
      <c r="I6" s="37"/>
    </row>
    <row r="7" spans="1:10">
      <c r="A7" s="39" t="s">
        <v>665</v>
      </c>
      <c r="B7" t="s">
        <v>62</v>
      </c>
      <c r="C7" s="37" t="s">
        <v>564</v>
      </c>
      <c r="D7" s="38" t="s">
        <v>40</v>
      </c>
      <c r="E7" s="37">
        <v>336</v>
      </c>
      <c r="F7" s="37">
        <v>4</v>
      </c>
      <c r="G7" s="40">
        <v>31097</v>
      </c>
      <c r="H7" s="37">
        <v>0</v>
      </c>
      <c r="I7" s="40"/>
    </row>
    <row r="8" spans="1:10">
      <c r="A8" s="39" t="s">
        <v>668</v>
      </c>
      <c r="B8" t="s">
        <v>62</v>
      </c>
      <c r="C8" s="37" t="s">
        <v>564</v>
      </c>
      <c r="D8" s="38" t="s">
        <v>40</v>
      </c>
      <c r="E8" s="37">
        <v>431</v>
      </c>
      <c r="F8" s="37">
        <v>10</v>
      </c>
      <c r="G8" s="40">
        <v>79662</v>
      </c>
      <c r="H8" s="37">
        <v>0</v>
      </c>
      <c r="I8" s="40"/>
    </row>
    <row r="9" spans="1:10">
      <c r="A9" s="39" t="s">
        <v>669</v>
      </c>
      <c r="B9" t="s">
        <v>62</v>
      </c>
      <c r="C9" s="37" t="s">
        <v>564</v>
      </c>
      <c r="D9" s="38" t="s">
        <v>40</v>
      </c>
      <c r="E9" s="37">
        <v>189</v>
      </c>
      <c r="F9" s="37">
        <v>4</v>
      </c>
      <c r="G9" s="37">
        <v>31185</v>
      </c>
      <c r="H9" s="37">
        <v>1</v>
      </c>
      <c r="I9" s="37"/>
    </row>
    <row r="10" spans="1:10">
      <c r="A10" s="39" t="s">
        <v>670</v>
      </c>
      <c r="B10" t="s">
        <v>62</v>
      </c>
      <c r="C10" s="37" t="s">
        <v>564</v>
      </c>
      <c r="D10" s="38" t="s">
        <v>40</v>
      </c>
      <c r="E10" s="37">
        <v>252</v>
      </c>
      <c r="F10" s="37">
        <v>2</v>
      </c>
      <c r="G10" s="40">
        <v>10593</v>
      </c>
      <c r="H10" s="37">
        <v>0</v>
      </c>
      <c r="I10" s="37"/>
    </row>
    <row r="11" spans="1:10">
      <c r="A11" s="39" t="s">
        <v>671</v>
      </c>
      <c r="B11" t="s">
        <v>62</v>
      </c>
      <c r="C11" s="37" t="s">
        <v>564</v>
      </c>
      <c r="D11" s="38" t="s">
        <v>40</v>
      </c>
      <c r="E11" s="37">
        <v>406</v>
      </c>
      <c r="F11" s="37">
        <v>6</v>
      </c>
      <c r="G11" s="37">
        <v>44385</v>
      </c>
      <c r="H11" s="37">
        <v>1</v>
      </c>
      <c r="I11" s="37"/>
    </row>
    <row r="12" spans="1:10">
      <c r="A12" s="39" t="s">
        <v>672</v>
      </c>
      <c r="B12" t="s">
        <v>62</v>
      </c>
      <c r="C12" s="37" t="s">
        <v>564</v>
      </c>
      <c r="D12" s="38" t="s">
        <v>40</v>
      </c>
      <c r="E12" s="37">
        <v>297</v>
      </c>
      <c r="F12" s="37">
        <v>4</v>
      </c>
      <c r="G12" s="40">
        <v>40546</v>
      </c>
      <c r="H12" s="37">
        <v>1</v>
      </c>
      <c r="I12" s="37"/>
    </row>
    <row r="13" spans="1:10">
      <c r="A13" s="39" t="s">
        <v>675</v>
      </c>
      <c r="B13" t="s">
        <v>62</v>
      </c>
      <c r="C13" s="37" t="s">
        <v>564</v>
      </c>
      <c r="D13" s="38" t="s">
        <v>40</v>
      </c>
      <c r="E13" s="37">
        <v>376</v>
      </c>
      <c r="F13" s="37">
        <v>8</v>
      </c>
      <c r="G13" s="40">
        <v>60280</v>
      </c>
      <c r="H13" s="37">
        <v>4</v>
      </c>
      <c r="I13" s="37"/>
    </row>
    <row r="14" spans="1:10">
      <c r="A14" s="39" t="s">
        <v>676</v>
      </c>
      <c r="B14" t="s">
        <v>62</v>
      </c>
      <c r="C14" s="37" t="s">
        <v>564</v>
      </c>
      <c r="D14" s="38" t="s">
        <v>40</v>
      </c>
      <c r="E14" s="37">
        <v>433</v>
      </c>
      <c r="F14" s="37">
        <v>5</v>
      </c>
      <c r="G14" s="40">
        <v>52294</v>
      </c>
      <c r="H14" s="37">
        <v>0</v>
      </c>
      <c r="I14" s="37"/>
    </row>
    <row r="15" spans="1:10">
      <c r="A15" s="39" t="s">
        <v>677</v>
      </c>
      <c r="B15" t="s">
        <v>62</v>
      </c>
      <c r="C15" s="37" t="s">
        <v>564</v>
      </c>
      <c r="D15" s="38" t="s">
        <v>40</v>
      </c>
      <c r="E15" s="37">
        <v>299</v>
      </c>
      <c r="F15" s="37">
        <v>7</v>
      </c>
      <c r="G15" s="37">
        <v>62557</v>
      </c>
      <c r="H15" s="37">
        <v>1</v>
      </c>
      <c r="I15" s="37"/>
    </row>
    <row r="16" spans="1:10">
      <c r="A16" s="39" t="s">
        <v>678</v>
      </c>
      <c r="B16" t="s">
        <v>62</v>
      </c>
      <c r="C16" s="37" t="s">
        <v>564</v>
      </c>
      <c r="D16" s="38" t="s">
        <v>40</v>
      </c>
      <c r="E16" s="37">
        <v>390</v>
      </c>
      <c r="F16" s="37">
        <v>10</v>
      </c>
      <c r="G16" s="37">
        <v>93610</v>
      </c>
      <c r="H16" s="37">
        <v>2</v>
      </c>
      <c r="I16" s="37"/>
    </row>
    <row r="17" spans="1:9">
      <c r="A17" s="39" t="s">
        <v>679</v>
      </c>
      <c r="B17" t="s">
        <v>62</v>
      </c>
      <c r="C17" s="37" t="s">
        <v>564</v>
      </c>
      <c r="D17" s="38" t="s">
        <v>40</v>
      </c>
      <c r="E17" s="37">
        <v>353</v>
      </c>
      <c r="F17" s="37">
        <v>4</v>
      </c>
      <c r="G17" s="37">
        <v>39622</v>
      </c>
      <c r="H17" s="37">
        <v>6</v>
      </c>
      <c r="I17" s="37"/>
    </row>
    <row r="18" spans="1:9">
      <c r="A18" s="39" t="s">
        <v>658</v>
      </c>
      <c r="B18" t="s">
        <v>64</v>
      </c>
      <c r="C18" s="37" t="s">
        <v>564</v>
      </c>
      <c r="D18" s="38" t="s">
        <v>40</v>
      </c>
      <c r="E18" s="37">
        <v>395</v>
      </c>
      <c r="F18" s="37">
        <v>15</v>
      </c>
      <c r="G18" s="40">
        <v>119691</v>
      </c>
      <c r="H18" s="37">
        <v>4</v>
      </c>
      <c r="I18" s="37"/>
    </row>
    <row r="19" spans="1:9">
      <c r="A19" s="39" t="s">
        <v>661</v>
      </c>
      <c r="B19" t="s">
        <v>64</v>
      </c>
      <c r="C19" s="37" t="s">
        <v>564</v>
      </c>
      <c r="D19" s="38" t="s">
        <v>40</v>
      </c>
      <c r="E19" s="37">
        <v>531</v>
      </c>
      <c r="F19" s="37">
        <v>15</v>
      </c>
      <c r="G19" s="40">
        <v>136752</v>
      </c>
      <c r="H19" s="37">
        <v>3</v>
      </c>
      <c r="I19" s="37"/>
    </row>
    <row r="20" spans="1:9">
      <c r="A20" s="39" t="s">
        <v>662</v>
      </c>
      <c r="B20" t="s">
        <v>64</v>
      </c>
      <c r="C20" s="37" t="s">
        <v>564</v>
      </c>
      <c r="D20" s="38" t="s">
        <v>40</v>
      </c>
      <c r="E20" s="37">
        <v>570</v>
      </c>
      <c r="F20" s="37">
        <v>11</v>
      </c>
      <c r="G20" s="40">
        <v>109560</v>
      </c>
      <c r="H20" s="37">
        <v>4</v>
      </c>
      <c r="I20" s="37"/>
    </row>
    <row r="21" spans="1:9">
      <c r="A21" s="39" t="s">
        <v>663</v>
      </c>
      <c r="B21" t="s">
        <v>64</v>
      </c>
      <c r="C21" s="37" t="s">
        <v>564</v>
      </c>
      <c r="D21" s="38" t="s">
        <v>40</v>
      </c>
      <c r="E21" s="37">
        <v>461</v>
      </c>
      <c r="F21" s="37">
        <v>17</v>
      </c>
      <c r="G21" s="40">
        <v>149479</v>
      </c>
      <c r="H21" s="37">
        <v>5</v>
      </c>
      <c r="I21" s="40"/>
    </row>
    <row r="22" spans="1:9">
      <c r="A22" s="39" t="s">
        <v>664</v>
      </c>
      <c r="B22" t="s">
        <v>64</v>
      </c>
      <c r="C22" s="37" t="s">
        <v>564</v>
      </c>
      <c r="D22" s="38" t="s">
        <v>40</v>
      </c>
      <c r="E22" s="37">
        <v>464</v>
      </c>
      <c r="F22" s="37">
        <v>21</v>
      </c>
      <c r="G22" s="40">
        <v>202620</v>
      </c>
      <c r="H22" s="37">
        <v>3</v>
      </c>
      <c r="I22" s="37"/>
    </row>
    <row r="23" spans="1:9">
      <c r="A23" s="39" t="s">
        <v>665</v>
      </c>
      <c r="B23" t="s">
        <v>64</v>
      </c>
      <c r="C23" s="37" t="s">
        <v>564</v>
      </c>
      <c r="D23" s="38" t="s">
        <v>40</v>
      </c>
      <c r="E23" s="37">
        <v>505</v>
      </c>
      <c r="F23" s="37">
        <v>18</v>
      </c>
      <c r="G23" s="37">
        <v>157014</v>
      </c>
      <c r="H23" s="37">
        <v>2</v>
      </c>
      <c r="I23" s="37"/>
    </row>
    <row r="24" spans="1:9">
      <c r="A24" s="39" t="s">
        <v>668</v>
      </c>
      <c r="B24" t="s">
        <v>64</v>
      </c>
      <c r="C24" s="37" t="s">
        <v>564</v>
      </c>
      <c r="D24" s="38" t="s">
        <v>40</v>
      </c>
      <c r="E24" s="37">
        <v>588</v>
      </c>
      <c r="F24" s="37">
        <v>13</v>
      </c>
      <c r="G24" s="37">
        <v>130141</v>
      </c>
      <c r="H24" s="37">
        <v>0</v>
      </c>
      <c r="I24" s="37"/>
    </row>
    <row r="25" spans="1:9">
      <c r="A25" s="39" t="s">
        <v>669</v>
      </c>
      <c r="B25" t="s">
        <v>64</v>
      </c>
      <c r="C25" s="37" t="s">
        <v>564</v>
      </c>
      <c r="D25" s="38" t="s">
        <v>40</v>
      </c>
      <c r="E25" s="37">
        <v>273</v>
      </c>
      <c r="F25" s="37">
        <v>7</v>
      </c>
      <c r="G25" s="37">
        <v>58399</v>
      </c>
      <c r="H25" s="37">
        <v>2</v>
      </c>
      <c r="I25" s="37"/>
    </row>
    <row r="26" spans="1:9">
      <c r="A26" s="39" t="s">
        <v>670</v>
      </c>
      <c r="B26" t="s">
        <v>64</v>
      </c>
      <c r="C26" s="37" t="s">
        <v>564</v>
      </c>
      <c r="D26" s="38" t="s">
        <v>40</v>
      </c>
      <c r="E26" s="37">
        <v>368</v>
      </c>
      <c r="F26" s="37">
        <v>8</v>
      </c>
      <c r="G26" s="37">
        <v>75878</v>
      </c>
      <c r="H26" s="37">
        <v>3</v>
      </c>
      <c r="I26" s="37"/>
    </row>
    <row r="27" spans="1:9">
      <c r="A27" s="39" t="s">
        <v>671</v>
      </c>
      <c r="B27" t="s">
        <v>64</v>
      </c>
      <c r="C27" s="37" t="s">
        <v>564</v>
      </c>
      <c r="D27" s="38" t="s">
        <v>40</v>
      </c>
      <c r="E27" s="37">
        <v>549</v>
      </c>
      <c r="F27" s="37">
        <v>14</v>
      </c>
      <c r="G27" s="37">
        <v>123552</v>
      </c>
      <c r="H27" s="37">
        <v>2</v>
      </c>
      <c r="I27" s="37"/>
    </row>
    <row r="28" spans="1:9">
      <c r="A28" s="39" t="s">
        <v>672</v>
      </c>
      <c r="B28" t="s">
        <v>64</v>
      </c>
      <c r="C28" s="37" t="s">
        <v>564</v>
      </c>
      <c r="D28" s="38" t="s">
        <v>40</v>
      </c>
      <c r="E28" s="37">
        <v>409</v>
      </c>
      <c r="F28" s="37">
        <v>14</v>
      </c>
      <c r="G28" s="37">
        <v>117205</v>
      </c>
      <c r="H28" s="37">
        <v>4</v>
      </c>
      <c r="I28" s="37"/>
    </row>
    <row r="29" spans="1:9">
      <c r="A29" s="39" t="s">
        <v>673</v>
      </c>
      <c r="B29" t="s">
        <v>64</v>
      </c>
      <c r="C29" s="37" t="s">
        <v>564</v>
      </c>
      <c r="D29" s="38" t="s">
        <v>40</v>
      </c>
      <c r="E29" s="37">
        <v>0</v>
      </c>
      <c r="F29" s="37">
        <v>0</v>
      </c>
      <c r="G29" s="40">
        <v>0</v>
      </c>
      <c r="H29" s="37">
        <v>2</v>
      </c>
      <c r="I29" s="37"/>
    </row>
    <row r="30" spans="1:9">
      <c r="A30" s="39" t="s">
        <v>675</v>
      </c>
      <c r="B30" t="s">
        <v>64</v>
      </c>
      <c r="C30" s="37" t="s">
        <v>564</v>
      </c>
      <c r="D30" s="38" t="s">
        <v>40</v>
      </c>
      <c r="E30" s="37">
        <v>438</v>
      </c>
      <c r="F30" s="37">
        <v>11</v>
      </c>
      <c r="G30" s="40">
        <v>103092</v>
      </c>
      <c r="H30" s="37">
        <v>3</v>
      </c>
      <c r="I30" s="37"/>
    </row>
    <row r="31" spans="1:9">
      <c r="A31" s="39" t="s">
        <v>676</v>
      </c>
      <c r="B31" t="s">
        <v>64</v>
      </c>
      <c r="C31" s="37" t="s">
        <v>564</v>
      </c>
      <c r="D31" s="38" t="s">
        <v>40</v>
      </c>
      <c r="E31" s="37">
        <v>407</v>
      </c>
      <c r="F31" s="37">
        <v>10</v>
      </c>
      <c r="G31" s="40">
        <v>92598</v>
      </c>
      <c r="H31" s="37">
        <v>1</v>
      </c>
      <c r="I31" s="40"/>
    </row>
    <row r="32" spans="1:9">
      <c r="A32" s="39" t="s">
        <v>677</v>
      </c>
      <c r="B32" t="s">
        <v>64</v>
      </c>
      <c r="C32" s="37" t="s">
        <v>564</v>
      </c>
      <c r="D32" s="38" t="s">
        <v>40</v>
      </c>
      <c r="E32" s="37">
        <v>428</v>
      </c>
      <c r="F32" s="37">
        <v>10</v>
      </c>
      <c r="G32" s="40">
        <v>82115</v>
      </c>
      <c r="H32" s="37">
        <v>1</v>
      </c>
      <c r="I32" s="37"/>
    </row>
    <row r="33" spans="1:9">
      <c r="A33" s="39" t="s">
        <v>678</v>
      </c>
      <c r="B33" t="s">
        <v>64</v>
      </c>
      <c r="C33" s="37" t="s">
        <v>564</v>
      </c>
      <c r="D33" s="38" t="s">
        <v>40</v>
      </c>
      <c r="E33" s="37">
        <v>291</v>
      </c>
      <c r="F33" s="37">
        <v>8</v>
      </c>
      <c r="G33" s="40">
        <v>71555</v>
      </c>
      <c r="H33" s="37">
        <v>2</v>
      </c>
      <c r="I33" s="37"/>
    </row>
    <row r="34" spans="1:9">
      <c r="A34" s="39" t="s">
        <v>679</v>
      </c>
      <c r="B34" t="s">
        <v>64</v>
      </c>
      <c r="C34" s="37" t="s">
        <v>564</v>
      </c>
      <c r="D34" s="38" t="s">
        <v>40</v>
      </c>
      <c r="E34" s="37">
        <v>318</v>
      </c>
      <c r="F34" s="37">
        <v>4</v>
      </c>
      <c r="G34" s="40">
        <v>40755</v>
      </c>
      <c r="H34" s="37">
        <v>0</v>
      </c>
      <c r="I34" s="37"/>
    </row>
    <row r="35" spans="1:9">
      <c r="A35" s="39" t="s">
        <v>688</v>
      </c>
      <c r="B35" t="s">
        <v>62</v>
      </c>
      <c r="C35" s="37" t="s">
        <v>565</v>
      </c>
      <c r="D35" s="38" t="s">
        <v>40</v>
      </c>
      <c r="E35" s="37">
        <v>34</v>
      </c>
      <c r="F35" s="37">
        <v>0</v>
      </c>
      <c r="G35" s="40">
        <v>0</v>
      </c>
      <c r="H35" s="37">
        <v>0</v>
      </c>
      <c r="I35" s="37"/>
    </row>
    <row r="36" spans="1:9">
      <c r="A36" s="39" t="s">
        <v>658</v>
      </c>
      <c r="B36" t="s">
        <v>62</v>
      </c>
      <c r="C36" s="37" t="s">
        <v>565</v>
      </c>
      <c r="D36" s="38" t="s">
        <v>40</v>
      </c>
      <c r="E36" s="37">
        <v>101</v>
      </c>
      <c r="F36" s="37">
        <v>1</v>
      </c>
      <c r="G36" s="40">
        <v>5181</v>
      </c>
      <c r="H36" s="37">
        <v>0</v>
      </c>
      <c r="I36" s="37"/>
    </row>
    <row r="37" spans="1:9">
      <c r="A37" s="39" t="s">
        <v>659</v>
      </c>
      <c r="B37" t="s">
        <v>62</v>
      </c>
      <c r="C37" s="37" t="s">
        <v>565</v>
      </c>
      <c r="D37" s="38" t="s">
        <v>40</v>
      </c>
      <c r="E37" s="37">
        <v>56</v>
      </c>
      <c r="F37" s="37">
        <v>0</v>
      </c>
      <c r="G37" s="40">
        <v>0</v>
      </c>
      <c r="H37" s="37">
        <v>0</v>
      </c>
      <c r="I37" s="37"/>
    </row>
    <row r="38" spans="1:9">
      <c r="A38" s="39" t="s">
        <v>660</v>
      </c>
      <c r="B38" t="s">
        <v>62</v>
      </c>
      <c r="C38" s="37" t="s">
        <v>565</v>
      </c>
      <c r="D38" s="38" t="s">
        <v>40</v>
      </c>
      <c r="E38" s="37">
        <v>53</v>
      </c>
      <c r="F38" s="37">
        <v>0</v>
      </c>
      <c r="G38" s="40">
        <v>0</v>
      </c>
      <c r="H38" s="37">
        <v>0</v>
      </c>
      <c r="I38" s="37"/>
    </row>
    <row r="39" spans="1:9">
      <c r="A39" s="39" t="s">
        <v>661</v>
      </c>
      <c r="B39" t="s">
        <v>62</v>
      </c>
      <c r="C39" s="37" t="s">
        <v>565</v>
      </c>
      <c r="D39" s="38" t="s">
        <v>40</v>
      </c>
      <c r="E39" s="37">
        <v>138</v>
      </c>
      <c r="F39" s="37">
        <v>3</v>
      </c>
      <c r="G39" s="40">
        <v>13541</v>
      </c>
      <c r="H39" s="37">
        <v>0</v>
      </c>
      <c r="I39" s="37"/>
    </row>
    <row r="40" spans="1:9">
      <c r="A40" s="39" t="s">
        <v>662</v>
      </c>
      <c r="B40" t="s">
        <v>62</v>
      </c>
      <c r="C40" s="37" t="s">
        <v>565</v>
      </c>
      <c r="D40" s="38" t="s">
        <v>40</v>
      </c>
      <c r="E40" s="37">
        <v>106</v>
      </c>
      <c r="F40" s="37">
        <v>2</v>
      </c>
      <c r="G40" s="40">
        <v>11880</v>
      </c>
      <c r="H40" s="37">
        <v>0</v>
      </c>
      <c r="I40" s="37"/>
    </row>
    <row r="41" spans="1:9">
      <c r="A41" s="39" t="s">
        <v>663</v>
      </c>
      <c r="B41" t="s">
        <v>62</v>
      </c>
      <c r="C41" s="37" t="s">
        <v>565</v>
      </c>
      <c r="D41" s="38" t="s">
        <v>40</v>
      </c>
      <c r="E41" s="37">
        <v>82</v>
      </c>
      <c r="F41" s="37">
        <v>0</v>
      </c>
      <c r="G41" s="40">
        <v>0</v>
      </c>
      <c r="H41" s="37">
        <v>0</v>
      </c>
      <c r="I41" s="37"/>
    </row>
    <row r="42" spans="1:9">
      <c r="A42" s="39" t="s">
        <v>664</v>
      </c>
      <c r="B42" t="s">
        <v>62</v>
      </c>
      <c r="C42" s="37" t="s">
        <v>565</v>
      </c>
      <c r="D42" s="38" t="s">
        <v>40</v>
      </c>
      <c r="E42" s="37">
        <v>81</v>
      </c>
      <c r="F42" s="37">
        <v>1</v>
      </c>
      <c r="G42" s="40">
        <v>7656</v>
      </c>
      <c r="H42" s="37">
        <v>1</v>
      </c>
      <c r="I42" s="37"/>
    </row>
    <row r="43" spans="1:9">
      <c r="A43" s="39" t="s">
        <v>665</v>
      </c>
      <c r="B43" t="s">
        <v>62</v>
      </c>
      <c r="C43" s="37" t="s">
        <v>565</v>
      </c>
      <c r="D43" s="38" t="s">
        <v>40</v>
      </c>
      <c r="E43" s="37">
        <v>102</v>
      </c>
      <c r="F43" s="37">
        <v>2</v>
      </c>
      <c r="G43" s="40">
        <v>9438</v>
      </c>
      <c r="H43" s="37">
        <v>0</v>
      </c>
      <c r="I43" s="37"/>
    </row>
    <row r="44" spans="1:9">
      <c r="A44" s="39" t="s">
        <v>666</v>
      </c>
      <c r="B44" t="s">
        <v>62</v>
      </c>
      <c r="C44" s="37" t="s">
        <v>565</v>
      </c>
      <c r="D44" s="38" t="s">
        <v>40</v>
      </c>
      <c r="E44" s="37">
        <v>34</v>
      </c>
      <c r="F44" s="37">
        <v>1</v>
      </c>
      <c r="G44" s="40">
        <v>4653</v>
      </c>
      <c r="H44" s="37">
        <v>0</v>
      </c>
      <c r="I44" s="37"/>
    </row>
    <row r="45" spans="1:9">
      <c r="A45" s="39" t="s">
        <v>667</v>
      </c>
      <c r="B45" t="s">
        <v>62</v>
      </c>
      <c r="C45" s="37" t="s">
        <v>565</v>
      </c>
      <c r="D45" s="38" t="s">
        <v>40</v>
      </c>
      <c r="E45" s="37">
        <v>20</v>
      </c>
      <c r="F45" s="37">
        <v>0</v>
      </c>
      <c r="G45" s="40">
        <v>0</v>
      </c>
      <c r="H45" s="37">
        <v>0</v>
      </c>
      <c r="I45" s="37"/>
    </row>
    <row r="46" spans="1:9">
      <c r="A46" s="39" t="s">
        <v>668</v>
      </c>
      <c r="B46" t="s">
        <v>62</v>
      </c>
      <c r="C46" s="37" t="s">
        <v>565</v>
      </c>
      <c r="D46" s="38" t="s">
        <v>40</v>
      </c>
      <c r="E46" s="37">
        <v>84</v>
      </c>
      <c r="F46" s="37">
        <v>1</v>
      </c>
      <c r="G46" s="40">
        <v>1419</v>
      </c>
      <c r="H46" s="37">
        <v>0</v>
      </c>
      <c r="I46" s="37"/>
    </row>
    <row r="47" spans="1:9">
      <c r="A47" s="39" t="s">
        <v>669</v>
      </c>
      <c r="B47" t="s">
        <v>62</v>
      </c>
      <c r="C47" s="37" t="s">
        <v>565</v>
      </c>
      <c r="D47" s="38" t="s">
        <v>40</v>
      </c>
      <c r="E47" s="37">
        <v>46</v>
      </c>
      <c r="F47" s="37">
        <v>2</v>
      </c>
      <c r="G47" s="40">
        <v>12892</v>
      </c>
      <c r="H47" s="37">
        <v>0</v>
      </c>
      <c r="I47" s="37"/>
    </row>
    <row r="48" spans="1:9">
      <c r="A48" s="39" t="s">
        <v>670</v>
      </c>
      <c r="B48" t="s">
        <v>62</v>
      </c>
      <c r="C48" s="37" t="s">
        <v>565</v>
      </c>
      <c r="D48" s="38" t="s">
        <v>40</v>
      </c>
      <c r="E48" s="37">
        <v>67</v>
      </c>
      <c r="F48" s="37">
        <v>2</v>
      </c>
      <c r="G48" s="40">
        <v>10802</v>
      </c>
      <c r="H48" s="37">
        <v>0</v>
      </c>
      <c r="I48" s="37"/>
    </row>
    <row r="49" spans="1:9">
      <c r="A49" s="39" t="s">
        <v>671</v>
      </c>
      <c r="B49" t="s">
        <v>62</v>
      </c>
      <c r="C49" s="37" t="s">
        <v>565</v>
      </c>
      <c r="D49" s="38" t="s">
        <v>40</v>
      </c>
      <c r="E49" s="37">
        <v>90</v>
      </c>
      <c r="F49" s="37">
        <v>1</v>
      </c>
      <c r="G49" s="40">
        <v>6380</v>
      </c>
      <c r="H49" s="37">
        <v>0</v>
      </c>
      <c r="I49" s="37"/>
    </row>
    <row r="50" spans="1:9">
      <c r="A50" s="39" t="s">
        <v>672</v>
      </c>
      <c r="B50" t="s">
        <v>62</v>
      </c>
      <c r="C50" s="37" t="s">
        <v>565</v>
      </c>
      <c r="D50" s="38" t="s">
        <v>40</v>
      </c>
      <c r="E50" s="37">
        <v>84</v>
      </c>
      <c r="F50" s="37">
        <v>0</v>
      </c>
      <c r="G50" s="40">
        <v>0</v>
      </c>
      <c r="H50" s="37">
        <v>0</v>
      </c>
      <c r="I50" s="37"/>
    </row>
    <row r="51" spans="1:9">
      <c r="A51" s="39" t="s">
        <v>673</v>
      </c>
      <c r="B51" t="s">
        <v>62</v>
      </c>
      <c r="C51" s="37" t="s">
        <v>565</v>
      </c>
      <c r="D51" s="38" t="s">
        <v>40</v>
      </c>
      <c r="E51" s="37">
        <v>41</v>
      </c>
      <c r="F51" s="37">
        <v>1</v>
      </c>
      <c r="G51" s="40">
        <v>385</v>
      </c>
      <c r="H51" s="37">
        <v>0</v>
      </c>
      <c r="I51" s="37"/>
    </row>
    <row r="52" spans="1:9">
      <c r="A52" s="39" t="s">
        <v>674</v>
      </c>
      <c r="B52" t="s">
        <v>62</v>
      </c>
      <c r="C52" s="37" t="s">
        <v>565</v>
      </c>
      <c r="D52" s="38" t="s">
        <v>40</v>
      </c>
      <c r="E52" s="37">
        <v>23</v>
      </c>
      <c r="F52" s="37">
        <v>2</v>
      </c>
      <c r="G52" s="40">
        <v>14839</v>
      </c>
      <c r="H52" s="37">
        <v>0</v>
      </c>
      <c r="I52" s="37"/>
    </row>
    <row r="53" spans="1:9">
      <c r="A53" s="39" t="s">
        <v>675</v>
      </c>
      <c r="B53" t="s">
        <v>62</v>
      </c>
      <c r="C53" s="37" t="s">
        <v>565</v>
      </c>
      <c r="D53" s="38" t="s">
        <v>40</v>
      </c>
      <c r="E53" s="37">
        <v>78</v>
      </c>
      <c r="F53" s="37">
        <v>1</v>
      </c>
      <c r="G53" s="40">
        <v>6083</v>
      </c>
      <c r="H53" s="37">
        <v>0</v>
      </c>
      <c r="I53" s="37"/>
    </row>
    <row r="54" spans="1:9">
      <c r="A54" s="39" t="s">
        <v>676</v>
      </c>
      <c r="B54" t="s">
        <v>62</v>
      </c>
      <c r="C54" s="37" t="s">
        <v>565</v>
      </c>
      <c r="D54" s="38" t="s">
        <v>40</v>
      </c>
      <c r="E54" s="37">
        <v>91</v>
      </c>
      <c r="F54" s="37">
        <v>3</v>
      </c>
      <c r="G54" s="40">
        <v>19514</v>
      </c>
      <c r="H54" s="37">
        <v>10</v>
      </c>
      <c r="I54" s="37"/>
    </row>
    <row r="55" spans="1:9">
      <c r="A55" s="39" t="s">
        <v>677</v>
      </c>
      <c r="B55" t="s">
        <v>62</v>
      </c>
      <c r="C55" s="37" t="s">
        <v>565</v>
      </c>
      <c r="D55" s="38" t="s">
        <v>40</v>
      </c>
      <c r="E55" s="37">
        <v>90</v>
      </c>
      <c r="F55" s="37">
        <v>1</v>
      </c>
      <c r="G55" s="40">
        <v>440</v>
      </c>
      <c r="H55" s="37">
        <v>0</v>
      </c>
      <c r="I55" s="37"/>
    </row>
    <row r="56" spans="1:9">
      <c r="A56" s="39" t="s">
        <v>678</v>
      </c>
      <c r="B56" t="s">
        <v>62</v>
      </c>
      <c r="C56" s="37" t="s">
        <v>565</v>
      </c>
      <c r="D56" s="38" t="s">
        <v>40</v>
      </c>
      <c r="E56" s="37">
        <v>70</v>
      </c>
      <c r="F56" s="37">
        <v>1</v>
      </c>
      <c r="G56" s="40">
        <v>5247</v>
      </c>
      <c r="H56" s="37">
        <v>0</v>
      </c>
      <c r="I56" s="37"/>
    </row>
    <row r="57" spans="1:9">
      <c r="A57" s="39" t="s">
        <v>679</v>
      </c>
      <c r="B57" t="s">
        <v>62</v>
      </c>
      <c r="C57" s="37" t="s">
        <v>565</v>
      </c>
      <c r="D57" s="38" t="s">
        <v>40</v>
      </c>
      <c r="E57" s="37">
        <v>92</v>
      </c>
      <c r="F57" s="37">
        <v>2</v>
      </c>
      <c r="G57" s="40">
        <v>12122</v>
      </c>
      <c r="H57" s="37">
        <v>0</v>
      </c>
      <c r="I57" s="40"/>
    </row>
    <row r="58" spans="1:9">
      <c r="A58" s="39" t="s">
        <v>680</v>
      </c>
      <c r="B58" t="s">
        <v>62</v>
      </c>
      <c r="C58" s="37" t="s">
        <v>565</v>
      </c>
      <c r="D58" s="38" t="s">
        <v>40</v>
      </c>
      <c r="E58" s="37">
        <v>30</v>
      </c>
      <c r="F58" s="37">
        <v>1</v>
      </c>
      <c r="G58" s="40">
        <v>2310</v>
      </c>
      <c r="H58" s="37">
        <v>0</v>
      </c>
      <c r="I58" s="37"/>
    </row>
    <row r="59" spans="1:9">
      <c r="A59" s="39" t="s">
        <v>681</v>
      </c>
      <c r="B59" t="s">
        <v>62</v>
      </c>
      <c r="C59" s="37" t="s">
        <v>565</v>
      </c>
      <c r="D59" s="38" t="s">
        <v>40</v>
      </c>
      <c r="E59" s="37">
        <v>17</v>
      </c>
      <c r="F59" s="37">
        <v>0</v>
      </c>
      <c r="G59" s="40">
        <v>0</v>
      </c>
      <c r="H59" s="37">
        <v>0</v>
      </c>
      <c r="I59" s="37"/>
    </row>
    <row r="60" spans="1:9">
      <c r="A60" s="39" t="s">
        <v>688</v>
      </c>
      <c r="B60" t="s">
        <v>64</v>
      </c>
      <c r="C60" s="37" t="s">
        <v>565</v>
      </c>
      <c r="D60" s="38" t="s">
        <v>40</v>
      </c>
      <c r="E60" s="37">
        <v>245</v>
      </c>
      <c r="F60" s="37">
        <v>9</v>
      </c>
      <c r="G60" s="40">
        <v>54263</v>
      </c>
      <c r="H60" s="37">
        <v>3</v>
      </c>
      <c r="I60" s="37"/>
    </row>
    <row r="61" spans="1:9">
      <c r="A61" s="39" t="s">
        <v>658</v>
      </c>
      <c r="B61" t="s">
        <v>64</v>
      </c>
      <c r="C61" s="37" t="s">
        <v>565</v>
      </c>
      <c r="D61" s="38" t="s">
        <v>40</v>
      </c>
      <c r="E61" s="37">
        <v>229</v>
      </c>
      <c r="F61" s="37">
        <v>8</v>
      </c>
      <c r="G61" s="40">
        <v>55957</v>
      </c>
      <c r="H61" s="37">
        <v>0</v>
      </c>
      <c r="I61" s="37"/>
    </row>
    <row r="62" spans="1:9">
      <c r="A62" s="39" t="s">
        <v>659</v>
      </c>
      <c r="B62" t="s">
        <v>64</v>
      </c>
      <c r="C62" s="37" t="s">
        <v>565</v>
      </c>
      <c r="D62" s="38" t="s">
        <v>40</v>
      </c>
      <c r="E62" s="37">
        <v>281</v>
      </c>
      <c r="F62" s="37">
        <v>7</v>
      </c>
      <c r="G62" s="40">
        <v>30415</v>
      </c>
      <c r="H62" s="37">
        <v>0</v>
      </c>
      <c r="I62" s="37"/>
    </row>
    <row r="63" spans="1:9">
      <c r="A63" s="39" t="s">
        <v>660</v>
      </c>
      <c r="B63" t="s">
        <v>64</v>
      </c>
      <c r="C63" s="37" t="s">
        <v>565</v>
      </c>
      <c r="D63" s="38" t="s">
        <v>40</v>
      </c>
      <c r="E63" s="37">
        <v>265</v>
      </c>
      <c r="F63" s="37">
        <v>7</v>
      </c>
      <c r="G63" s="40">
        <v>27709</v>
      </c>
      <c r="H63" s="37">
        <v>2</v>
      </c>
      <c r="I63" s="37"/>
    </row>
    <row r="64" spans="1:9">
      <c r="A64" s="39" t="s">
        <v>661</v>
      </c>
      <c r="B64" t="s">
        <v>64</v>
      </c>
      <c r="C64" s="37" t="s">
        <v>565</v>
      </c>
      <c r="D64" s="38" t="s">
        <v>40</v>
      </c>
      <c r="E64" s="37">
        <v>296</v>
      </c>
      <c r="F64" s="37">
        <v>10</v>
      </c>
      <c r="G64" s="40">
        <v>51700</v>
      </c>
      <c r="H64" s="37">
        <v>1</v>
      </c>
      <c r="I64" s="37"/>
    </row>
    <row r="65" spans="1:9">
      <c r="A65" s="39" t="s">
        <v>662</v>
      </c>
      <c r="B65" t="s">
        <v>64</v>
      </c>
      <c r="C65" s="37" t="s">
        <v>565</v>
      </c>
      <c r="D65" s="38" t="s">
        <v>40</v>
      </c>
      <c r="E65" s="37">
        <v>268</v>
      </c>
      <c r="F65" s="37">
        <v>12</v>
      </c>
      <c r="G65" s="40">
        <v>82434</v>
      </c>
      <c r="H65" s="37">
        <v>2</v>
      </c>
      <c r="I65" s="37"/>
    </row>
    <row r="66" spans="1:9">
      <c r="A66" s="39" t="s">
        <v>663</v>
      </c>
      <c r="B66" t="s">
        <v>64</v>
      </c>
      <c r="C66" s="37" t="s">
        <v>565</v>
      </c>
      <c r="D66" s="38" t="s">
        <v>40</v>
      </c>
      <c r="E66" s="37">
        <v>215</v>
      </c>
      <c r="F66" s="37">
        <v>12</v>
      </c>
      <c r="G66" s="40">
        <v>73854</v>
      </c>
      <c r="H66" s="37">
        <v>1</v>
      </c>
      <c r="I66" s="37"/>
    </row>
    <row r="67" spans="1:9">
      <c r="A67" s="39" t="s">
        <v>664</v>
      </c>
      <c r="B67" t="s">
        <v>64</v>
      </c>
      <c r="C67" s="37" t="s">
        <v>565</v>
      </c>
      <c r="D67" s="38" t="s">
        <v>40</v>
      </c>
      <c r="E67" s="37">
        <v>150</v>
      </c>
      <c r="F67" s="37">
        <v>6</v>
      </c>
      <c r="G67" s="40">
        <v>34661</v>
      </c>
      <c r="H67" s="37">
        <v>0</v>
      </c>
      <c r="I67" s="37"/>
    </row>
    <row r="68" spans="1:9">
      <c r="A68" s="39" t="s">
        <v>665</v>
      </c>
      <c r="B68" t="s">
        <v>64</v>
      </c>
      <c r="C68" s="37" t="s">
        <v>565</v>
      </c>
      <c r="D68" s="38" t="s">
        <v>40</v>
      </c>
      <c r="E68" s="37">
        <v>202</v>
      </c>
      <c r="F68" s="37">
        <v>8</v>
      </c>
      <c r="G68" s="40">
        <v>54901</v>
      </c>
      <c r="H68" s="37">
        <v>1</v>
      </c>
      <c r="I68" s="37"/>
    </row>
    <row r="69" spans="1:9">
      <c r="A69" s="39" t="s">
        <v>666</v>
      </c>
      <c r="B69" t="s">
        <v>64</v>
      </c>
      <c r="C69" s="37" t="s">
        <v>565</v>
      </c>
      <c r="D69" s="38" t="s">
        <v>40</v>
      </c>
      <c r="E69" s="37">
        <v>151</v>
      </c>
      <c r="F69" s="37">
        <v>7</v>
      </c>
      <c r="G69" s="40">
        <v>28237</v>
      </c>
      <c r="H69" s="37">
        <v>5</v>
      </c>
      <c r="I69" s="37"/>
    </row>
    <row r="70" spans="1:9">
      <c r="A70" s="39" t="s">
        <v>667</v>
      </c>
      <c r="B70" t="s">
        <v>64</v>
      </c>
      <c r="C70" s="37" t="s">
        <v>565</v>
      </c>
      <c r="D70" s="38" t="s">
        <v>40</v>
      </c>
      <c r="E70" s="37">
        <v>157</v>
      </c>
      <c r="F70" s="37">
        <v>1</v>
      </c>
      <c r="G70" s="40">
        <v>4147</v>
      </c>
      <c r="H70" s="37">
        <v>0</v>
      </c>
      <c r="I70" s="37"/>
    </row>
    <row r="71" spans="1:9">
      <c r="A71" s="39" t="s">
        <v>668</v>
      </c>
      <c r="B71" t="s">
        <v>64</v>
      </c>
      <c r="C71" s="37" t="s">
        <v>565</v>
      </c>
      <c r="D71" s="38" t="s">
        <v>40</v>
      </c>
      <c r="E71" s="37">
        <v>165</v>
      </c>
      <c r="F71" s="37">
        <v>6</v>
      </c>
      <c r="G71" s="40">
        <v>26862</v>
      </c>
      <c r="H71" s="37">
        <v>0</v>
      </c>
      <c r="I71" s="37"/>
    </row>
    <row r="72" spans="1:9">
      <c r="A72" s="39" t="s">
        <v>669</v>
      </c>
      <c r="B72" t="s">
        <v>64</v>
      </c>
      <c r="C72" s="37" t="s">
        <v>565</v>
      </c>
      <c r="D72" s="38" t="s">
        <v>40</v>
      </c>
      <c r="E72" s="37">
        <v>114</v>
      </c>
      <c r="F72" s="37">
        <v>3</v>
      </c>
      <c r="G72" s="40">
        <v>17446</v>
      </c>
      <c r="H72" s="37">
        <v>0</v>
      </c>
      <c r="I72" s="37"/>
    </row>
    <row r="73" spans="1:9">
      <c r="A73" s="39" t="s">
        <v>670</v>
      </c>
      <c r="B73" t="s">
        <v>64</v>
      </c>
      <c r="C73" s="37" t="s">
        <v>565</v>
      </c>
      <c r="D73" s="38" t="s">
        <v>40</v>
      </c>
      <c r="E73" s="37">
        <v>166</v>
      </c>
      <c r="F73" s="37">
        <v>11</v>
      </c>
      <c r="G73" s="40">
        <v>61083</v>
      </c>
      <c r="H73" s="37">
        <v>0</v>
      </c>
      <c r="I73" s="37"/>
    </row>
    <row r="74" spans="1:9">
      <c r="A74" s="39" t="s">
        <v>671</v>
      </c>
      <c r="B74" t="s">
        <v>64</v>
      </c>
      <c r="C74" s="37" t="s">
        <v>565</v>
      </c>
      <c r="D74" s="38" t="s">
        <v>40</v>
      </c>
      <c r="E74" s="37">
        <v>296</v>
      </c>
      <c r="F74" s="37">
        <v>11</v>
      </c>
      <c r="G74" s="40">
        <v>67100</v>
      </c>
      <c r="H74" s="37">
        <v>2</v>
      </c>
      <c r="I74" s="37"/>
    </row>
    <row r="75" spans="1:9">
      <c r="A75" s="39" t="s">
        <v>672</v>
      </c>
      <c r="B75" t="s">
        <v>64</v>
      </c>
      <c r="C75" s="37" t="s">
        <v>565</v>
      </c>
      <c r="D75" s="38" t="s">
        <v>40</v>
      </c>
      <c r="E75" s="37">
        <v>239</v>
      </c>
      <c r="F75" s="37">
        <v>4</v>
      </c>
      <c r="G75" s="40">
        <v>25839</v>
      </c>
      <c r="H75" s="37">
        <v>1</v>
      </c>
      <c r="I75" s="40"/>
    </row>
    <row r="76" spans="1:9">
      <c r="A76" s="39" t="s">
        <v>673</v>
      </c>
      <c r="B76" t="s">
        <v>64</v>
      </c>
      <c r="C76" s="37" t="s">
        <v>565</v>
      </c>
      <c r="D76" s="38" t="s">
        <v>40</v>
      </c>
      <c r="E76" s="37">
        <v>163</v>
      </c>
      <c r="F76" s="37">
        <v>4</v>
      </c>
      <c r="G76" s="40">
        <v>27654</v>
      </c>
      <c r="H76" s="37">
        <v>0</v>
      </c>
      <c r="I76" s="40"/>
    </row>
    <row r="77" spans="1:9">
      <c r="A77" s="39" t="s">
        <v>674</v>
      </c>
      <c r="B77" t="s">
        <v>64</v>
      </c>
      <c r="C77" s="37" t="s">
        <v>565</v>
      </c>
      <c r="D77" s="38" t="s">
        <v>40</v>
      </c>
      <c r="E77" s="37">
        <v>192</v>
      </c>
      <c r="F77" s="37">
        <v>1</v>
      </c>
      <c r="G77" s="40">
        <v>5720</v>
      </c>
      <c r="H77" s="37">
        <v>0</v>
      </c>
      <c r="I77" s="37"/>
    </row>
    <row r="78" spans="1:9">
      <c r="A78" s="39" t="s">
        <v>675</v>
      </c>
      <c r="B78" t="s">
        <v>64</v>
      </c>
      <c r="C78" s="37" t="s">
        <v>565</v>
      </c>
      <c r="D78" s="38" t="s">
        <v>40</v>
      </c>
      <c r="E78" s="37">
        <v>195</v>
      </c>
      <c r="F78" s="37">
        <v>5</v>
      </c>
      <c r="G78" s="40">
        <v>26609</v>
      </c>
      <c r="H78" s="37">
        <v>0</v>
      </c>
      <c r="I78" s="37"/>
    </row>
    <row r="79" spans="1:9">
      <c r="A79" s="39" t="s">
        <v>676</v>
      </c>
      <c r="B79" t="s">
        <v>64</v>
      </c>
      <c r="C79" s="37" t="s">
        <v>565</v>
      </c>
      <c r="D79" s="38" t="s">
        <v>40</v>
      </c>
      <c r="E79" s="37">
        <v>156</v>
      </c>
      <c r="F79" s="37">
        <v>7</v>
      </c>
      <c r="G79" s="40">
        <v>47509</v>
      </c>
      <c r="H79" s="37">
        <v>3</v>
      </c>
      <c r="I79" s="37"/>
    </row>
    <row r="80" spans="1:9">
      <c r="A80" s="39" t="s">
        <v>677</v>
      </c>
      <c r="B80" t="s">
        <v>64</v>
      </c>
      <c r="C80" s="37" t="s">
        <v>565</v>
      </c>
      <c r="D80" s="38" t="s">
        <v>40</v>
      </c>
      <c r="E80" s="37">
        <v>199</v>
      </c>
      <c r="F80" s="37">
        <v>6</v>
      </c>
      <c r="G80" s="40">
        <v>27753</v>
      </c>
      <c r="H80" s="37">
        <v>2</v>
      </c>
      <c r="I80" s="40"/>
    </row>
    <row r="81" spans="1:9">
      <c r="A81" s="39" t="s">
        <v>678</v>
      </c>
      <c r="B81" t="s">
        <v>64</v>
      </c>
      <c r="C81" s="37" t="s">
        <v>565</v>
      </c>
      <c r="D81" s="38" t="s">
        <v>40</v>
      </c>
      <c r="E81" s="37">
        <v>209</v>
      </c>
      <c r="F81" s="37">
        <v>5</v>
      </c>
      <c r="G81" s="40">
        <v>26587</v>
      </c>
      <c r="H81" s="37">
        <v>2</v>
      </c>
      <c r="I81" s="37"/>
    </row>
    <row r="82" spans="1:9">
      <c r="A82" s="39" t="s">
        <v>679</v>
      </c>
      <c r="B82" t="s">
        <v>64</v>
      </c>
      <c r="C82" s="37" t="s">
        <v>565</v>
      </c>
      <c r="D82" s="38" t="s">
        <v>40</v>
      </c>
      <c r="E82" s="37">
        <v>252</v>
      </c>
      <c r="F82" s="37">
        <v>3</v>
      </c>
      <c r="G82" s="40">
        <v>17413</v>
      </c>
      <c r="H82" s="37">
        <v>0</v>
      </c>
      <c r="I82" s="37"/>
    </row>
    <row r="83" spans="1:9">
      <c r="A83" s="39" t="s">
        <v>680</v>
      </c>
      <c r="B83" t="s">
        <v>64</v>
      </c>
      <c r="C83" s="37" t="s">
        <v>565</v>
      </c>
      <c r="D83" s="38" t="s">
        <v>40</v>
      </c>
      <c r="E83" s="37">
        <v>252</v>
      </c>
      <c r="F83" s="37">
        <v>2</v>
      </c>
      <c r="G83" s="40">
        <v>11561</v>
      </c>
      <c r="H83" s="37">
        <v>1</v>
      </c>
      <c r="I83" s="40"/>
    </row>
    <row r="84" spans="1:9">
      <c r="A84" s="39" t="s">
        <v>681</v>
      </c>
      <c r="B84" t="s">
        <v>64</v>
      </c>
      <c r="C84" s="37" t="s">
        <v>565</v>
      </c>
      <c r="D84" s="38" t="s">
        <v>40</v>
      </c>
      <c r="E84" s="37">
        <v>233</v>
      </c>
      <c r="F84" s="37">
        <v>2</v>
      </c>
      <c r="G84" s="40">
        <v>12837</v>
      </c>
      <c r="H84" s="37">
        <v>0</v>
      </c>
      <c r="I84" s="37"/>
    </row>
    <row r="85" spans="1:9">
      <c r="A85" s="39" t="s">
        <v>682</v>
      </c>
      <c r="B85" t="s">
        <v>62</v>
      </c>
      <c r="C85" s="37" t="s">
        <v>564</v>
      </c>
      <c r="D85" s="38" t="s">
        <v>40</v>
      </c>
      <c r="E85" s="37">
        <v>322</v>
      </c>
      <c r="F85" s="37">
        <v>9</v>
      </c>
      <c r="G85" s="40">
        <v>93115</v>
      </c>
      <c r="H85" s="37">
        <v>1</v>
      </c>
      <c r="I85" s="37"/>
    </row>
    <row r="86" spans="1:9">
      <c r="A86" s="39" t="s">
        <v>683</v>
      </c>
      <c r="B86" t="s">
        <v>62</v>
      </c>
      <c r="C86" s="37" t="s">
        <v>564</v>
      </c>
      <c r="D86" s="38" t="s">
        <v>40</v>
      </c>
      <c r="E86" s="37">
        <v>405</v>
      </c>
      <c r="F86" s="37">
        <v>5</v>
      </c>
      <c r="G86" s="40">
        <v>55616</v>
      </c>
      <c r="H86" s="37">
        <v>1</v>
      </c>
      <c r="I86" s="37"/>
    </row>
    <row r="87" spans="1:9">
      <c r="A87" s="39" t="s">
        <v>684</v>
      </c>
      <c r="B87" t="s">
        <v>62</v>
      </c>
      <c r="C87" s="37" t="s">
        <v>564</v>
      </c>
      <c r="D87" s="38" t="s">
        <v>40</v>
      </c>
      <c r="E87" s="37">
        <v>99</v>
      </c>
      <c r="F87" s="37">
        <v>2</v>
      </c>
      <c r="G87" s="40">
        <v>18480</v>
      </c>
      <c r="H87" s="37">
        <v>0</v>
      </c>
      <c r="I87" s="37"/>
    </row>
    <row r="88" spans="1:9">
      <c r="A88" s="39" t="s">
        <v>685</v>
      </c>
      <c r="B88" t="s">
        <v>62</v>
      </c>
      <c r="C88" s="37" t="s">
        <v>564</v>
      </c>
      <c r="D88" s="38" t="s">
        <v>40</v>
      </c>
      <c r="E88" s="37">
        <v>372</v>
      </c>
      <c r="F88" s="37">
        <v>5</v>
      </c>
      <c r="G88" s="40">
        <v>38819</v>
      </c>
      <c r="H88" s="37">
        <v>0</v>
      </c>
      <c r="I88" s="37"/>
    </row>
    <row r="89" spans="1:9">
      <c r="A89" s="39" t="s">
        <v>686</v>
      </c>
      <c r="B89" t="s">
        <v>62</v>
      </c>
      <c r="C89" s="37" t="s">
        <v>564</v>
      </c>
      <c r="D89" s="38" t="s">
        <v>40</v>
      </c>
      <c r="E89" s="37">
        <v>391</v>
      </c>
      <c r="F89" s="37">
        <v>9</v>
      </c>
      <c r="G89" s="40">
        <v>70488</v>
      </c>
      <c r="H89" s="37">
        <v>0</v>
      </c>
      <c r="I89" s="37"/>
    </row>
    <row r="90" spans="1:9">
      <c r="A90" s="39" t="s">
        <v>682</v>
      </c>
      <c r="B90" t="s">
        <v>64</v>
      </c>
      <c r="C90" s="37" t="s">
        <v>564</v>
      </c>
      <c r="D90" s="38" t="s">
        <v>40</v>
      </c>
      <c r="E90" s="37">
        <v>314</v>
      </c>
      <c r="F90" s="37">
        <v>8</v>
      </c>
      <c r="G90" s="40">
        <v>72743</v>
      </c>
      <c r="H90" s="37">
        <v>2</v>
      </c>
      <c r="I90" s="37"/>
    </row>
    <row r="91" spans="1:9">
      <c r="A91" s="39" t="s">
        <v>683</v>
      </c>
      <c r="B91" t="s">
        <v>64</v>
      </c>
      <c r="C91" s="37" t="s">
        <v>564</v>
      </c>
      <c r="D91" s="38" t="s">
        <v>40</v>
      </c>
      <c r="E91" s="37">
        <v>366</v>
      </c>
      <c r="F91" s="37">
        <v>7</v>
      </c>
      <c r="G91" s="40">
        <v>52250</v>
      </c>
      <c r="H91" s="37">
        <v>4</v>
      </c>
      <c r="I91" s="37"/>
    </row>
    <row r="92" spans="1:9">
      <c r="A92" s="39" t="s">
        <v>684</v>
      </c>
      <c r="B92" t="s">
        <v>64</v>
      </c>
      <c r="C92" s="37" t="s">
        <v>564</v>
      </c>
      <c r="D92" s="38" t="s">
        <v>40</v>
      </c>
      <c r="E92" s="37">
        <v>169</v>
      </c>
      <c r="F92" s="37">
        <v>3</v>
      </c>
      <c r="G92" s="40">
        <v>29491</v>
      </c>
      <c r="H92" s="37">
        <v>2</v>
      </c>
      <c r="I92" s="37"/>
    </row>
    <row r="93" spans="1:9">
      <c r="A93" s="39" t="s">
        <v>685</v>
      </c>
      <c r="B93" t="s">
        <v>64</v>
      </c>
      <c r="C93" s="37" t="s">
        <v>564</v>
      </c>
      <c r="D93" s="38" t="s">
        <v>40</v>
      </c>
      <c r="E93" s="37">
        <v>257</v>
      </c>
      <c r="F93" s="37">
        <v>7</v>
      </c>
      <c r="G93" s="40">
        <v>67419</v>
      </c>
      <c r="H93" s="37">
        <v>1</v>
      </c>
      <c r="I93" s="37"/>
    </row>
    <row r="94" spans="1:9">
      <c r="A94" s="39" t="s">
        <v>686</v>
      </c>
      <c r="B94" t="s">
        <v>64</v>
      </c>
      <c r="C94" s="37" t="s">
        <v>564</v>
      </c>
      <c r="D94" s="38" t="s">
        <v>40</v>
      </c>
      <c r="E94" s="37">
        <v>481</v>
      </c>
      <c r="F94" s="37">
        <v>8</v>
      </c>
      <c r="G94" s="40">
        <v>71687</v>
      </c>
      <c r="H94" s="37">
        <v>1</v>
      </c>
      <c r="I94" s="37"/>
    </row>
    <row r="95" spans="1:9">
      <c r="A95" s="39" t="s">
        <v>682</v>
      </c>
      <c r="B95" t="s">
        <v>62</v>
      </c>
      <c r="C95" s="37" t="s">
        <v>565</v>
      </c>
      <c r="D95" s="38" t="s">
        <v>40</v>
      </c>
      <c r="E95" s="37">
        <v>85</v>
      </c>
      <c r="F95" s="37">
        <v>0</v>
      </c>
      <c r="G95" s="40">
        <v>0</v>
      </c>
      <c r="H95" s="37">
        <v>0</v>
      </c>
      <c r="I95" s="37"/>
    </row>
    <row r="96" spans="1:9">
      <c r="A96" s="39" t="s">
        <v>683</v>
      </c>
      <c r="B96" t="s">
        <v>62</v>
      </c>
      <c r="C96" s="37" t="s">
        <v>565</v>
      </c>
      <c r="D96" s="38" t="s">
        <v>40</v>
      </c>
      <c r="E96" s="37">
        <v>87</v>
      </c>
      <c r="F96" s="37">
        <v>3</v>
      </c>
      <c r="G96" s="40">
        <v>13849</v>
      </c>
      <c r="H96" s="37">
        <v>0</v>
      </c>
      <c r="I96" s="37"/>
    </row>
    <row r="97" spans="1:9">
      <c r="A97" s="39" t="s">
        <v>684</v>
      </c>
      <c r="B97" t="s">
        <v>62</v>
      </c>
      <c r="C97" s="37" t="s">
        <v>565</v>
      </c>
      <c r="D97" s="38" t="s">
        <v>40</v>
      </c>
      <c r="E97" s="37">
        <v>29</v>
      </c>
      <c r="F97" s="37">
        <v>1</v>
      </c>
      <c r="G97" s="40">
        <v>451</v>
      </c>
      <c r="H97" s="37">
        <v>0</v>
      </c>
      <c r="I97" s="37"/>
    </row>
    <row r="98" spans="1:9">
      <c r="A98" s="39" t="s">
        <v>685</v>
      </c>
      <c r="B98" t="s">
        <v>62</v>
      </c>
      <c r="C98" s="37" t="s">
        <v>565</v>
      </c>
      <c r="D98" s="38" t="s">
        <v>40</v>
      </c>
      <c r="E98" s="37">
        <v>79</v>
      </c>
      <c r="F98" s="37">
        <v>5</v>
      </c>
      <c r="G98" s="40">
        <v>29656</v>
      </c>
      <c r="H98" s="37">
        <v>0</v>
      </c>
      <c r="I98" s="37"/>
    </row>
    <row r="99" spans="1:9">
      <c r="A99" s="39" t="s">
        <v>686</v>
      </c>
      <c r="B99" t="s">
        <v>62</v>
      </c>
      <c r="C99" s="37" t="s">
        <v>565</v>
      </c>
      <c r="D99" s="38" t="s">
        <v>40</v>
      </c>
      <c r="E99" s="37">
        <v>88</v>
      </c>
      <c r="F99" s="37">
        <v>3</v>
      </c>
      <c r="G99" s="40">
        <v>19756</v>
      </c>
      <c r="H99" s="37">
        <v>0</v>
      </c>
      <c r="I99" s="37"/>
    </row>
    <row r="100" spans="1:9">
      <c r="A100" s="39" t="s">
        <v>687</v>
      </c>
      <c r="B100" t="s">
        <v>62</v>
      </c>
      <c r="C100" s="37" t="s">
        <v>565</v>
      </c>
      <c r="D100" s="38" t="s">
        <v>40</v>
      </c>
      <c r="E100" s="37">
        <v>24</v>
      </c>
      <c r="F100" s="37">
        <v>0</v>
      </c>
      <c r="G100" s="40">
        <v>0</v>
      </c>
      <c r="H100" s="37">
        <v>0</v>
      </c>
      <c r="I100" s="37"/>
    </row>
    <row r="101" spans="1:9">
      <c r="A101" s="39" t="s">
        <v>693</v>
      </c>
      <c r="B101" t="s">
        <v>62</v>
      </c>
      <c r="C101" s="37" t="s">
        <v>565</v>
      </c>
      <c r="D101" s="38" t="s">
        <v>40</v>
      </c>
      <c r="E101" s="37">
        <v>28</v>
      </c>
      <c r="F101" s="37">
        <v>2</v>
      </c>
      <c r="G101" s="40">
        <v>12298</v>
      </c>
      <c r="H101" s="37">
        <v>1</v>
      </c>
      <c r="I101" s="37"/>
    </row>
    <row r="102" spans="1:9">
      <c r="A102" s="39" t="s">
        <v>682</v>
      </c>
      <c r="B102" t="s">
        <v>64</v>
      </c>
      <c r="C102" s="37" t="s">
        <v>565</v>
      </c>
      <c r="D102" s="38" t="s">
        <v>40</v>
      </c>
      <c r="E102" s="37">
        <v>202</v>
      </c>
      <c r="F102" s="37">
        <v>5</v>
      </c>
      <c r="G102" s="40">
        <v>33033</v>
      </c>
      <c r="H102" s="37">
        <v>0</v>
      </c>
      <c r="I102" s="37"/>
    </row>
    <row r="103" spans="1:9">
      <c r="A103" s="39" t="s">
        <v>683</v>
      </c>
      <c r="B103" t="s">
        <v>64</v>
      </c>
      <c r="C103" s="37" t="s">
        <v>565</v>
      </c>
      <c r="D103" s="38" t="s">
        <v>40</v>
      </c>
      <c r="E103" s="37">
        <v>295</v>
      </c>
      <c r="F103" s="37">
        <v>12</v>
      </c>
      <c r="G103" s="40">
        <v>71555</v>
      </c>
      <c r="H103" s="37">
        <v>2</v>
      </c>
      <c r="I103" s="40"/>
    </row>
    <row r="104" spans="1:9">
      <c r="A104" s="39" t="s">
        <v>684</v>
      </c>
      <c r="B104" t="s">
        <v>64</v>
      </c>
      <c r="C104" s="37" t="s">
        <v>565</v>
      </c>
      <c r="D104" s="38" t="s">
        <v>40</v>
      </c>
      <c r="E104" s="37">
        <v>156</v>
      </c>
      <c r="F104" s="37">
        <v>1</v>
      </c>
      <c r="G104" s="40">
        <v>1210</v>
      </c>
      <c r="H104" s="37">
        <v>0</v>
      </c>
      <c r="I104" s="37"/>
    </row>
    <row r="105" spans="1:9">
      <c r="A105" s="39" t="s">
        <v>685</v>
      </c>
      <c r="B105" t="s">
        <v>64</v>
      </c>
      <c r="C105" s="37" t="s">
        <v>565</v>
      </c>
      <c r="D105" s="38" t="s">
        <v>40</v>
      </c>
      <c r="E105" s="37">
        <v>247</v>
      </c>
      <c r="F105" s="37">
        <v>4</v>
      </c>
      <c r="G105" s="40">
        <v>13882</v>
      </c>
      <c r="H105" s="37">
        <v>0</v>
      </c>
      <c r="I105" s="37"/>
    </row>
    <row r="106" spans="1:9">
      <c r="A106" s="39" t="s">
        <v>686</v>
      </c>
      <c r="B106" t="s">
        <v>64</v>
      </c>
      <c r="C106" s="37" t="s">
        <v>565</v>
      </c>
      <c r="D106" s="38" t="s">
        <v>40</v>
      </c>
      <c r="E106" s="37">
        <v>365</v>
      </c>
      <c r="F106" s="37">
        <v>3</v>
      </c>
      <c r="G106" s="40">
        <v>20966</v>
      </c>
      <c r="H106" s="37">
        <v>2</v>
      </c>
      <c r="I106" s="37"/>
    </row>
    <row r="107" spans="1:9">
      <c r="A107" s="39" t="s">
        <v>687</v>
      </c>
      <c r="B107" t="s">
        <v>64</v>
      </c>
      <c r="C107" s="37" t="s">
        <v>565</v>
      </c>
      <c r="D107" s="38" t="s">
        <v>40</v>
      </c>
      <c r="E107" s="37">
        <v>316</v>
      </c>
      <c r="F107" s="37">
        <v>6</v>
      </c>
      <c r="G107" s="40">
        <v>34683</v>
      </c>
      <c r="H107" s="37">
        <v>0</v>
      </c>
      <c r="I107" s="37"/>
    </row>
    <row r="108" spans="1:9">
      <c r="A108" s="39" t="s">
        <v>693</v>
      </c>
      <c r="B108" t="s">
        <v>64</v>
      </c>
      <c r="C108" s="37" t="s">
        <v>565</v>
      </c>
      <c r="D108" s="38" t="s">
        <v>40</v>
      </c>
      <c r="E108" s="37">
        <v>285</v>
      </c>
      <c r="F108" s="37">
        <v>2</v>
      </c>
      <c r="G108" s="40">
        <v>13387</v>
      </c>
      <c r="H108" s="37">
        <v>0</v>
      </c>
      <c r="I108" s="40"/>
    </row>
    <row r="109" spans="1:9">
      <c r="A109" s="39" t="s">
        <v>701</v>
      </c>
      <c r="B109" t="s">
        <v>62</v>
      </c>
      <c r="C109" s="37" t="s">
        <v>564</v>
      </c>
      <c r="D109" s="38" t="s">
        <v>40</v>
      </c>
      <c r="E109" s="37">
        <v>349</v>
      </c>
      <c r="F109" s="37">
        <v>2</v>
      </c>
      <c r="G109" s="40">
        <v>8272</v>
      </c>
      <c r="H109" s="37">
        <v>0</v>
      </c>
      <c r="I109" s="37"/>
    </row>
    <row r="110" spans="1:9">
      <c r="A110" s="39" t="s">
        <v>697</v>
      </c>
      <c r="B110" t="s">
        <v>62</v>
      </c>
      <c r="C110" s="37" t="s">
        <v>564</v>
      </c>
      <c r="D110" s="38" t="s">
        <v>40</v>
      </c>
      <c r="E110" s="37">
        <v>400</v>
      </c>
      <c r="F110" s="37">
        <v>6</v>
      </c>
      <c r="G110" s="40">
        <v>45419</v>
      </c>
      <c r="H110" s="37">
        <v>2</v>
      </c>
      <c r="I110" s="37"/>
    </row>
    <row r="111" spans="1:9">
      <c r="A111" s="39" t="s">
        <v>698</v>
      </c>
      <c r="B111" t="s">
        <v>62</v>
      </c>
      <c r="C111" s="37" t="s">
        <v>564</v>
      </c>
      <c r="D111" s="38" t="s">
        <v>40</v>
      </c>
      <c r="E111" s="37">
        <v>286</v>
      </c>
      <c r="F111" s="37">
        <v>1</v>
      </c>
      <c r="G111" s="40">
        <v>8437</v>
      </c>
      <c r="H111" s="37">
        <v>1</v>
      </c>
      <c r="I111" s="37"/>
    </row>
    <row r="112" spans="1:9">
      <c r="A112" s="39" t="s">
        <v>699</v>
      </c>
      <c r="B112" t="s">
        <v>62</v>
      </c>
      <c r="C112" s="37" t="s">
        <v>564</v>
      </c>
      <c r="D112" s="38" t="s">
        <v>40</v>
      </c>
      <c r="E112" s="37">
        <v>226</v>
      </c>
      <c r="F112" s="37">
        <v>1</v>
      </c>
      <c r="G112" s="40">
        <v>10285</v>
      </c>
      <c r="H112" s="37">
        <v>0</v>
      </c>
      <c r="I112" s="37"/>
    </row>
    <row r="113" spans="1:9">
      <c r="A113" t="s">
        <v>700</v>
      </c>
      <c r="B113" t="s">
        <v>62</v>
      </c>
      <c r="C113" t="s">
        <v>564</v>
      </c>
      <c r="D113" t="s">
        <v>40</v>
      </c>
      <c r="E113" s="37">
        <v>7</v>
      </c>
      <c r="F113" s="37">
        <v>0</v>
      </c>
      <c r="G113" s="37">
        <v>0</v>
      </c>
      <c r="H113" s="37">
        <v>0</v>
      </c>
      <c r="I113" s="37"/>
    </row>
    <row r="114" spans="1:9">
      <c r="A114" t="s">
        <v>701</v>
      </c>
      <c r="B114" t="s">
        <v>64</v>
      </c>
      <c r="C114" t="s">
        <v>564</v>
      </c>
      <c r="D114" t="s">
        <v>40</v>
      </c>
      <c r="E114" s="37">
        <v>494</v>
      </c>
      <c r="F114" s="37">
        <v>17</v>
      </c>
      <c r="G114" s="37">
        <v>156013</v>
      </c>
      <c r="H114" s="37">
        <v>6</v>
      </c>
      <c r="I114" s="37"/>
    </row>
    <row r="115" spans="1:9">
      <c r="A115" t="s">
        <v>697</v>
      </c>
      <c r="B115" t="s">
        <v>64</v>
      </c>
      <c r="C115" t="s">
        <v>564</v>
      </c>
      <c r="D115" t="s">
        <v>40</v>
      </c>
      <c r="E115" s="37">
        <v>467</v>
      </c>
      <c r="F115" s="37">
        <v>12</v>
      </c>
      <c r="G115" s="37">
        <v>122023</v>
      </c>
      <c r="H115" s="37">
        <v>0</v>
      </c>
      <c r="I115" s="37"/>
    </row>
    <row r="116" spans="1:9">
      <c r="A116" t="s">
        <v>698</v>
      </c>
      <c r="B116" t="s">
        <v>64</v>
      </c>
      <c r="C116" t="s">
        <v>564</v>
      </c>
      <c r="D116" t="s">
        <v>40</v>
      </c>
      <c r="E116" s="37">
        <v>371</v>
      </c>
      <c r="F116" s="37">
        <v>16</v>
      </c>
      <c r="G116" s="37">
        <v>146036</v>
      </c>
      <c r="H116" s="37">
        <v>4</v>
      </c>
      <c r="I116" s="37"/>
    </row>
    <row r="117" spans="1:9">
      <c r="A117" t="s">
        <v>699</v>
      </c>
      <c r="B117" t="s">
        <v>64</v>
      </c>
      <c r="C117" t="s">
        <v>564</v>
      </c>
      <c r="D117" t="s">
        <v>40</v>
      </c>
      <c r="E117" s="37">
        <v>278</v>
      </c>
      <c r="F117" s="37">
        <v>5</v>
      </c>
      <c r="G117" s="37">
        <v>40612</v>
      </c>
      <c r="H117" s="37">
        <v>1</v>
      </c>
      <c r="I117" s="37"/>
    </row>
    <row r="118" spans="1:9">
      <c r="A118" t="s">
        <v>700</v>
      </c>
      <c r="B118" t="s">
        <v>64</v>
      </c>
      <c r="C118" t="s">
        <v>564</v>
      </c>
      <c r="D118" t="s">
        <v>40</v>
      </c>
      <c r="E118" s="37">
        <v>20</v>
      </c>
      <c r="F118" s="37">
        <v>1</v>
      </c>
      <c r="G118" s="37">
        <v>2486</v>
      </c>
      <c r="H118" s="37">
        <v>0</v>
      </c>
      <c r="I118" s="37"/>
    </row>
    <row r="119" spans="1:9">
      <c r="A119" t="s">
        <v>702</v>
      </c>
      <c r="B119" t="s">
        <v>64</v>
      </c>
      <c r="C119" t="s">
        <v>564</v>
      </c>
      <c r="D119" t="s">
        <v>40</v>
      </c>
      <c r="E119" s="37">
        <v>5</v>
      </c>
      <c r="F119" s="37">
        <v>0</v>
      </c>
      <c r="G119" s="37">
        <v>0</v>
      </c>
      <c r="H119" s="37">
        <v>0</v>
      </c>
      <c r="I119" s="37"/>
    </row>
    <row r="120" spans="1:9">
      <c r="A120" t="s">
        <v>701</v>
      </c>
      <c r="B120" t="s">
        <v>62</v>
      </c>
      <c r="C120" t="s">
        <v>565</v>
      </c>
      <c r="D120" t="s">
        <v>40</v>
      </c>
      <c r="E120" s="37">
        <v>71</v>
      </c>
      <c r="F120" s="37">
        <v>2</v>
      </c>
      <c r="G120" s="40">
        <v>10593</v>
      </c>
      <c r="H120" s="37">
        <v>0</v>
      </c>
      <c r="I120" s="37"/>
    </row>
    <row r="121" spans="1:9">
      <c r="A121" t="s">
        <v>697</v>
      </c>
      <c r="B121" t="s">
        <v>62</v>
      </c>
      <c r="C121" t="s">
        <v>565</v>
      </c>
      <c r="D121" t="s">
        <v>40</v>
      </c>
      <c r="E121" s="37">
        <v>96</v>
      </c>
      <c r="F121" s="37">
        <v>2</v>
      </c>
      <c r="G121" s="37">
        <v>11352</v>
      </c>
      <c r="H121" s="37">
        <v>0</v>
      </c>
      <c r="I121" s="37"/>
    </row>
    <row r="122" spans="1:9">
      <c r="A122" t="s">
        <v>698</v>
      </c>
      <c r="B122" t="s">
        <v>62</v>
      </c>
      <c r="C122" t="s">
        <v>565</v>
      </c>
      <c r="D122" t="s">
        <v>40</v>
      </c>
      <c r="E122" s="37">
        <v>68</v>
      </c>
      <c r="F122" s="37">
        <v>2</v>
      </c>
      <c r="G122" s="37">
        <v>11407</v>
      </c>
      <c r="H122" s="37">
        <v>0</v>
      </c>
      <c r="I122" s="37"/>
    </row>
    <row r="123" spans="1:9">
      <c r="A123" t="s">
        <v>699</v>
      </c>
      <c r="B123" t="s">
        <v>62</v>
      </c>
      <c r="C123" t="s">
        <v>565</v>
      </c>
      <c r="D123" t="s">
        <v>40</v>
      </c>
      <c r="E123" s="37">
        <v>91</v>
      </c>
      <c r="F123" s="37">
        <v>1</v>
      </c>
      <c r="G123" s="37">
        <v>5027</v>
      </c>
      <c r="H123" s="37">
        <v>0</v>
      </c>
      <c r="I123" s="37"/>
    </row>
    <row r="124" spans="1:9">
      <c r="A124" t="s">
        <v>700</v>
      </c>
      <c r="B124" t="s">
        <v>62</v>
      </c>
      <c r="C124" t="s">
        <v>565</v>
      </c>
      <c r="D124" t="s">
        <v>40</v>
      </c>
      <c r="E124" s="37">
        <v>8</v>
      </c>
      <c r="F124" s="37">
        <v>0</v>
      </c>
      <c r="G124" s="37">
        <v>0</v>
      </c>
      <c r="H124" s="37">
        <v>0</v>
      </c>
      <c r="I124" s="37"/>
    </row>
    <row r="125" spans="1:9">
      <c r="A125" t="s">
        <v>703</v>
      </c>
      <c r="B125" t="s">
        <v>62</v>
      </c>
      <c r="C125" t="s">
        <v>565</v>
      </c>
      <c r="D125" t="s">
        <v>40</v>
      </c>
      <c r="E125" s="37">
        <v>30</v>
      </c>
      <c r="F125" s="37">
        <v>2</v>
      </c>
      <c r="G125" s="37">
        <v>7073</v>
      </c>
      <c r="H125" s="37">
        <v>0</v>
      </c>
      <c r="I125" s="37"/>
    </row>
    <row r="126" spans="1:9">
      <c r="A126" t="s">
        <v>702</v>
      </c>
      <c r="B126" t="s">
        <v>62</v>
      </c>
      <c r="C126" t="s">
        <v>565</v>
      </c>
      <c r="D126" t="s">
        <v>40</v>
      </c>
      <c r="E126" s="37">
        <v>20</v>
      </c>
      <c r="F126" s="37">
        <v>1</v>
      </c>
      <c r="G126" s="37">
        <v>7546</v>
      </c>
      <c r="H126" s="37">
        <v>0</v>
      </c>
      <c r="I126" s="37"/>
    </row>
    <row r="127" spans="1:9">
      <c r="A127" t="s">
        <v>701</v>
      </c>
      <c r="B127" t="s">
        <v>64</v>
      </c>
      <c r="C127" t="s">
        <v>565</v>
      </c>
      <c r="D127" t="s">
        <v>40</v>
      </c>
      <c r="E127" s="37">
        <v>238</v>
      </c>
      <c r="F127" s="37">
        <v>4</v>
      </c>
      <c r="G127" s="37">
        <v>21164</v>
      </c>
      <c r="H127" s="37">
        <v>0</v>
      </c>
      <c r="I127" s="37"/>
    </row>
    <row r="128" spans="1:9">
      <c r="A128" t="s">
        <v>697</v>
      </c>
      <c r="B128" t="s">
        <v>64</v>
      </c>
      <c r="C128" t="s">
        <v>565</v>
      </c>
      <c r="D128" t="s">
        <v>40</v>
      </c>
      <c r="E128" s="37">
        <v>210</v>
      </c>
      <c r="F128" s="37">
        <v>5</v>
      </c>
      <c r="G128" s="37">
        <v>26708</v>
      </c>
      <c r="H128" s="37">
        <v>1</v>
      </c>
      <c r="I128" s="37"/>
    </row>
    <row r="129" spans="1:9">
      <c r="A129" t="s">
        <v>698</v>
      </c>
      <c r="B129" t="s">
        <v>64</v>
      </c>
      <c r="C129" t="s">
        <v>565</v>
      </c>
      <c r="D129" t="s">
        <v>40</v>
      </c>
      <c r="E129" s="37">
        <v>156</v>
      </c>
      <c r="F129" s="37">
        <v>10</v>
      </c>
      <c r="G129" s="37">
        <v>59301</v>
      </c>
      <c r="H129" s="37">
        <v>2</v>
      </c>
      <c r="I129" s="37"/>
    </row>
    <row r="130" spans="1:9">
      <c r="A130" t="s">
        <v>699</v>
      </c>
      <c r="B130" t="s">
        <v>64</v>
      </c>
      <c r="C130" t="s">
        <v>565</v>
      </c>
      <c r="D130" t="s">
        <v>40</v>
      </c>
      <c r="E130" s="37">
        <v>203</v>
      </c>
      <c r="F130" s="37">
        <v>5</v>
      </c>
      <c r="G130" s="37">
        <v>24332</v>
      </c>
      <c r="H130" s="37">
        <v>1</v>
      </c>
      <c r="I130" s="37"/>
    </row>
    <row r="131" spans="1:9">
      <c r="A131" t="s">
        <v>700</v>
      </c>
      <c r="B131" t="s">
        <v>64</v>
      </c>
      <c r="C131" t="s">
        <v>565</v>
      </c>
      <c r="D131" t="s">
        <v>40</v>
      </c>
      <c r="E131" s="37">
        <v>48</v>
      </c>
      <c r="F131" s="37">
        <v>1</v>
      </c>
      <c r="G131" s="37">
        <v>7623</v>
      </c>
      <c r="H131" s="37">
        <v>0</v>
      </c>
      <c r="I131" s="37"/>
    </row>
    <row r="132" spans="1:9">
      <c r="A132" t="s">
        <v>703</v>
      </c>
      <c r="B132" t="s">
        <v>64</v>
      </c>
      <c r="C132" t="s">
        <v>565</v>
      </c>
      <c r="D132" t="s">
        <v>40</v>
      </c>
      <c r="E132" s="37">
        <v>293</v>
      </c>
      <c r="F132" s="37">
        <v>4</v>
      </c>
      <c r="G132" s="40">
        <v>23551</v>
      </c>
      <c r="H132" s="37">
        <v>0</v>
      </c>
      <c r="I132" s="37"/>
    </row>
    <row r="133" spans="1:9">
      <c r="A133" t="s">
        <v>702</v>
      </c>
      <c r="B133" t="s">
        <v>64</v>
      </c>
      <c r="C133" t="s">
        <v>565</v>
      </c>
      <c r="D133" t="s">
        <v>40</v>
      </c>
      <c r="E133" s="37">
        <v>289</v>
      </c>
      <c r="F133" s="37">
        <v>3</v>
      </c>
      <c r="G133" s="40">
        <v>14091</v>
      </c>
      <c r="H133" s="37">
        <v>0</v>
      </c>
      <c r="I133" s="37"/>
    </row>
    <row r="134" spans="1:9">
      <c r="A134" t="s">
        <v>724</v>
      </c>
      <c r="B134" t="s">
        <v>62</v>
      </c>
      <c r="C134" t="s">
        <v>564</v>
      </c>
      <c r="D134" t="s">
        <v>40</v>
      </c>
      <c r="E134" s="37">
        <v>139</v>
      </c>
      <c r="F134" s="37">
        <v>1</v>
      </c>
      <c r="G134" s="37">
        <v>10219</v>
      </c>
      <c r="H134" s="37">
        <v>0</v>
      </c>
      <c r="I134" s="37"/>
    </row>
    <row r="135" spans="1:9">
      <c r="A135" t="s">
        <v>711</v>
      </c>
      <c r="B135" t="s">
        <v>62</v>
      </c>
      <c r="C135" t="s">
        <v>564</v>
      </c>
      <c r="D135" t="s">
        <v>40</v>
      </c>
      <c r="E135" s="37">
        <v>151</v>
      </c>
      <c r="F135" s="37">
        <v>2</v>
      </c>
      <c r="G135" s="37">
        <v>17479</v>
      </c>
      <c r="H135" s="37">
        <v>0</v>
      </c>
      <c r="I135" s="37"/>
    </row>
    <row r="136" spans="1:9">
      <c r="A136" t="s">
        <v>712</v>
      </c>
      <c r="B136" t="s">
        <v>62</v>
      </c>
      <c r="C136" t="s">
        <v>564</v>
      </c>
      <c r="D136" t="s">
        <v>40</v>
      </c>
      <c r="E136" s="37">
        <v>88</v>
      </c>
      <c r="F136" s="37">
        <v>2</v>
      </c>
      <c r="G136" s="40">
        <v>17864</v>
      </c>
      <c r="H136" s="37">
        <v>0</v>
      </c>
      <c r="I136" s="37"/>
    </row>
    <row r="137" spans="1:9" ht="15.75" customHeight="1">
      <c r="A137" t="s">
        <v>713</v>
      </c>
      <c r="B137" t="s">
        <v>62</v>
      </c>
      <c r="C137" t="s">
        <v>564</v>
      </c>
      <c r="D137" t="s">
        <v>40</v>
      </c>
      <c r="E137" s="37">
        <v>130</v>
      </c>
      <c r="F137" s="37">
        <v>3</v>
      </c>
      <c r="G137" s="40">
        <v>26213</v>
      </c>
      <c r="H137" s="37">
        <v>0</v>
      </c>
      <c r="I137" s="40"/>
    </row>
    <row r="138" spans="1:9">
      <c r="A138" t="s">
        <v>714</v>
      </c>
      <c r="B138" t="s">
        <v>62</v>
      </c>
      <c r="C138" t="s">
        <v>564</v>
      </c>
      <c r="D138" t="s">
        <v>40</v>
      </c>
      <c r="E138" s="37">
        <v>84</v>
      </c>
      <c r="F138" s="37">
        <v>1</v>
      </c>
      <c r="G138" s="40">
        <v>8085</v>
      </c>
      <c r="H138" s="37">
        <v>0</v>
      </c>
      <c r="I138" s="37"/>
    </row>
    <row r="139" spans="1:9">
      <c r="A139" t="s">
        <v>717</v>
      </c>
      <c r="B139" t="s">
        <v>62</v>
      </c>
      <c r="C139" t="s">
        <v>564</v>
      </c>
      <c r="D139" t="s">
        <v>40</v>
      </c>
      <c r="E139" s="37">
        <v>25</v>
      </c>
      <c r="F139" s="37">
        <v>0</v>
      </c>
      <c r="G139" s="40">
        <v>0</v>
      </c>
      <c r="H139" s="37">
        <v>0</v>
      </c>
      <c r="I139" s="40"/>
    </row>
    <row r="140" spans="1:9">
      <c r="A140" t="s">
        <v>718</v>
      </c>
      <c r="B140" t="s">
        <v>62</v>
      </c>
      <c r="C140" t="s">
        <v>564</v>
      </c>
      <c r="D140" t="s">
        <v>40</v>
      </c>
      <c r="E140" s="37">
        <v>16</v>
      </c>
      <c r="F140" s="37">
        <v>0</v>
      </c>
      <c r="G140" s="40">
        <v>0</v>
      </c>
      <c r="H140" s="37">
        <v>0</v>
      </c>
      <c r="I140" s="40"/>
    </row>
    <row r="141" spans="1:9">
      <c r="A141" t="s">
        <v>719</v>
      </c>
      <c r="B141" t="s">
        <v>62</v>
      </c>
      <c r="C141" t="s">
        <v>564</v>
      </c>
      <c r="D141" t="s">
        <v>40</v>
      </c>
      <c r="E141" s="37">
        <v>29</v>
      </c>
      <c r="F141" s="37">
        <v>0</v>
      </c>
      <c r="G141" s="40">
        <v>0</v>
      </c>
      <c r="H141" s="37">
        <v>0</v>
      </c>
      <c r="I141" s="40"/>
    </row>
    <row r="142" spans="1:9">
      <c r="A142" t="s">
        <v>720</v>
      </c>
      <c r="B142" t="s">
        <v>62</v>
      </c>
      <c r="C142" t="s">
        <v>564</v>
      </c>
      <c r="D142" t="s">
        <v>40</v>
      </c>
      <c r="E142" s="37">
        <v>186</v>
      </c>
      <c r="F142" s="37">
        <v>5</v>
      </c>
      <c r="G142" s="40">
        <v>41217</v>
      </c>
      <c r="H142" s="37">
        <v>1</v>
      </c>
      <c r="I142" s="37"/>
    </row>
    <row r="143" spans="1:9">
      <c r="A143" t="s">
        <v>721</v>
      </c>
      <c r="B143" t="s">
        <v>62</v>
      </c>
      <c r="C143" t="s">
        <v>564</v>
      </c>
      <c r="D143" t="s">
        <v>40</v>
      </c>
      <c r="E143" s="37">
        <v>116</v>
      </c>
      <c r="F143" s="37">
        <v>2</v>
      </c>
      <c r="G143" s="37">
        <v>13816</v>
      </c>
      <c r="H143" s="37">
        <v>0</v>
      </c>
      <c r="I143" s="37"/>
    </row>
    <row r="144" spans="1:9">
      <c r="A144" t="s">
        <v>724</v>
      </c>
      <c r="B144" t="s">
        <v>64</v>
      </c>
      <c r="C144" t="s">
        <v>564</v>
      </c>
      <c r="D144" t="s">
        <v>40</v>
      </c>
      <c r="E144" s="37">
        <v>225</v>
      </c>
      <c r="F144" s="37">
        <v>9</v>
      </c>
      <c r="G144" s="40">
        <v>104852</v>
      </c>
      <c r="H144" s="37">
        <v>1</v>
      </c>
      <c r="I144" s="37"/>
    </row>
    <row r="145" spans="1:9">
      <c r="A145" t="s">
        <v>711</v>
      </c>
      <c r="B145" t="s">
        <v>64</v>
      </c>
      <c r="C145" t="s">
        <v>564</v>
      </c>
      <c r="D145" t="s">
        <v>40</v>
      </c>
      <c r="E145" s="37">
        <v>177</v>
      </c>
      <c r="F145" s="37">
        <v>2</v>
      </c>
      <c r="G145" s="37">
        <v>29238</v>
      </c>
      <c r="H145" s="37">
        <v>1</v>
      </c>
      <c r="I145" s="37"/>
    </row>
    <row r="146" spans="1:9">
      <c r="A146" t="s">
        <v>712</v>
      </c>
      <c r="B146" t="s">
        <v>64</v>
      </c>
      <c r="C146" t="s">
        <v>564</v>
      </c>
      <c r="D146" t="s">
        <v>40</v>
      </c>
      <c r="E146" s="37">
        <v>176</v>
      </c>
      <c r="F146" s="37">
        <v>6</v>
      </c>
      <c r="G146" s="37">
        <v>52932</v>
      </c>
      <c r="H146" s="37">
        <v>2</v>
      </c>
      <c r="I146" s="37"/>
    </row>
    <row r="147" spans="1:9">
      <c r="A147" t="s">
        <v>713</v>
      </c>
      <c r="B147" t="s">
        <v>64</v>
      </c>
      <c r="C147" t="s">
        <v>564</v>
      </c>
      <c r="D147" t="s">
        <v>40</v>
      </c>
      <c r="E147" s="37">
        <v>121</v>
      </c>
      <c r="F147" s="37">
        <v>2</v>
      </c>
      <c r="G147" s="40">
        <v>11528</v>
      </c>
      <c r="H147" s="37">
        <v>0</v>
      </c>
      <c r="I147" s="37"/>
    </row>
    <row r="148" spans="1:9">
      <c r="A148" t="s">
        <v>714</v>
      </c>
      <c r="B148" t="s">
        <v>64</v>
      </c>
      <c r="C148" t="s">
        <v>564</v>
      </c>
      <c r="D148" t="s">
        <v>40</v>
      </c>
      <c r="E148" s="37">
        <v>115</v>
      </c>
      <c r="F148" s="37">
        <v>2</v>
      </c>
      <c r="G148" s="40">
        <v>20438</v>
      </c>
      <c r="H148" s="37">
        <v>1</v>
      </c>
      <c r="I148" s="37"/>
    </row>
    <row r="149" spans="1:9">
      <c r="A149" t="s">
        <v>725</v>
      </c>
      <c r="B149" t="s">
        <v>64</v>
      </c>
      <c r="C149" t="s">
        <v>564</v>
      </c>
      <c r="D149" t="s">
        <v>40</v>
      </c>
      <c r="E149" s="37">
        <v>21</v>
      </c>
      <c r="F149" s="37">
        <v>0</v>
      </c>
      <c r="G149" s="37">
        <v>0</v>
      </c>
      <c r="H149" s="37">
        <v>0</v>
      </c>
      <c r="I149" s="37"/>
    </row>
    <row r="150" spans="1:9">
      <c r="A150" t="s">
        <v>726</v>
      </c>
      <c r="B150" t="s">
        <v>64</v>
      </c>
      <c r="C150" t="s">
        <v>564</v>
      </c>
      <c r="D150" t="s">
        <v>40</v>
      </c>
      <c r="E150" s="37">
        <v>17</v>
      </c>
      <c r="F150" s="37">
        <v>0</v>
      </c>
      <c r="G150" s="40">
        <v>0</v>
      </c>
      <c r="H150" s="37">
        <v>0</v>
      </c>
      <c r="I150" s="37"/>
    </row>
    <row r="151" spans="1:9">
      <c r="A151" t="s">
        <v>717</v>
      </c>
      <c r="B151" t="s">
        <v>64</v>
      </c>
      <c r="C151" t="s">
        <v>564</v>
      </c>
      <c r="D151" t="s">
        <v>40</v>
      </c>
      <c r="E151" s="37">
        <v>138</v>
      </c>
      <c r="F151" s="37">
        <v>5</v>
      </c>
      <c r="G151" s="40">
        <v>32241</v>
      </c>
      <c r="H151" s="37">
        <v>0</v>
      </c>
      <c r="I151" s="37"/>
    </row>
    <row r="152" spans="1:9">
      <c r="A152" t="s">
        <v>718</v>
      </c>
      <c r="B152" t="s">
        <v>64</v>
      </c>
      <c r="C152" t="s">
        <v>564</v>
      </c>
      <c r="D152" t="s">
        <v>40</v>
      </c>
      <c r="E152" s="37">
        <v>115</v>
      </c>
      <c r="F152" s="37">
        <v>2</v>
      </c>
      <c r="G152" s="40">
        <v>9669</v>
      </c>
      <c r="H152" s="37">
        <v>0</v>
      </c>
      <c r="I152" s="37"/>
    </row>
    <row r="153" spans="1:9">
      <c r="A153" t="s">
        <v>719</v>
      </c>
      <c r="B153" t="s">
        <v>64</v>
      </c>
      <c r="C153" t="s">
        <v>564</v>
      </c>
      <c r="D153" t="s">
        <v>40</v>
      </c>
      <c r="E153" s="37">
        <v>158</v>
      </c>
      <c r="F153" s="37">
        <v>3</v>
      </c>
      <c r="G153" s="40">
        <v>24596</v>
      </c>
      <c r="H153" s="37">
        <v>1</v>
      </c>
      <c r="I153" s="37"/>
    </row>
    <row r="154" spans="1:9">
      <c r="A154" t="s">
        <v>720</v>
      </c>
      <c r="B154" t="s">
        <v>64</v>
      </c>
      <c r="C154" t="s">
        <v>564</v>
      </c>
      <c r="D154" t="s">
        <v>40</v>
      </c>
      <c r="E154" s="37">
        <v>192</v>
      </c>
      <c r="F154" s="37">
        <v>12</v>
      </c>
      <c r="G154" s="37">
        <v>82016</v>
      </c>
      <c r="H154" s="37">
        <v>1</v>
      </c>
      <c r="I154" s="37"/>
    </row>
    <row r="155" spans="1:9">
      <c r="A155" t="s">
        <v>721</v>
      </c>
      <c r="B155" t="s">
        <v>64</v>
      </c>
      <c r="C155" t="s">
        <v>564</v>
      </c>
      <c r="D155" t="s">
        <v>40</v>
      </c>
      <c r="E155" s="37">
        <v>149</v>
      </c>
      <c r="F155" s="37">
        <v>7</v>
      </c>
      <c r="G155" s="37">
        <v>61468</v>
      </c>
      <c r="H155" s="37">
        <v>2</v>
      </c>
      <c r="I155" s="37"/>
    </row>
    <row r="156" spans="1:9">
      <c r="A156" t="s">
        <v>727</v>
      </c>
      <c r="B156" t="s">
        <v>64</v>
      </c>
      <c r="C156" t="s">
        <v>564</v>
      </c>
      <c r="D156" t="s">
        <v>40</v>
      </c>
      <c r="E156" s="37">
        <v>2</v>
      </c>
      <c r="F156" s="37">
        <v>0</v>
      </c>
      <c r="G156" s="37">
        <v>0</v>
      </c>
      <c r="H156" s="37">
        <v>0</v>
      </c>
      <c r="I156" s="37"/>
    </row>
    <row r="157" spans="1:9">
      <c r="A157" t="s">
        <v>728</v>
      </c>
      <c r="B157" t="s">
        <v>64</v>
      </c>
      <c r="C157" t="s">
        <v>564</v>
      </c>
      <c r="D157" t="s">
        <v>40</v>
      </c>
      <c r="E157" s="37">
        <v>2</v>
      </c>
      <c r="F157" s="37">
        <v>0</v>
      </c>
      <c r="G157" s="37">
        <v>0</v>
      </c>
      <c r="H157" s="37">
        <v>0</v>
      </c>
      <c r="I157" s="37"/>
    </row>
    <row r="158" spans="1:9">
      <c r="A158" t="s">
        <v>724</v>
      </c>
      <c r="B158" t="s">
        <v>62</v>
      </c>
      <c r="C158" t="s">
        <v>565</v>
      </c>
      <c r="D158" t="s">
        <v>40</v>
      </c>
      <c r="E158" s="37">
        <v>116</v>
      </c>
      <c r="F158" s="37">
        <v>2</v>
      </c>
      <c r="G158" s="37">
        <v>10692</v>
      </c>
      <c r="H158" s="37">
        <v>0</v>
      </c>
      <c r="I158" s="37"/>
    </row>
    <row r="159" spans="1:9">
      <c r="A159" t="s">
        <v>711</v>
      </c>
      <c r="B159" t="s">
        <v>62</v>
      </c>
      <c r="C159" t="s">
        <v>565</v>
      </c>
      <c r="D159" t="s">
        <v>40</v>
      </c>
      <c r="E159" s="37">
        <v>79</v>
      </c>
      <c r="F159" s="37">
        <v>2</v>
      </c>
      <c r="G159" s="37">
        <v>12386</v>
      </c>
      <c r="H159" s="37">
        <v>2</v>
      </c>
      <c r="I159" s="37"/>
    </row>
    <row r="160" spans="1:9">
      <c r="A160" t="s">
        <v>712</v>
      </c>
      <c r="B160" t="s">
        <v>62</v>
      </c>
      <c r="C160" t="s">
        <v>565</v>
      </c>
      <c r="D160" t="s">
        <v>40</v>
      </c>
      <c r="E160" s="37">
        <v>79</v>
      </c>
      <c r="F160" s="37">
        <v>4</v>
      </c>
      <c r="G160" s="40">
        <v>27412</v>
      </c>
      <c r="H160" s="37">
        <v>2</v>
      </c>
      <c r="I160" s="37"/>
    </row>
    <row r="161" spans="1:9">
      <c r="A161" t="s">
        <v>713</v>
      </c>
      <c r="B161" t="s">
        <v>62</v>
      </c>
      <c r="C161" t="s">
        <v>565</v>
      </c>
      <c r="D161" t="s">
        <v>40</v>
      </c>
      <c r="E161" s="37">
        <v>53</v>
      </c>
      <c r="F161" s="37">
        <v>2</v>
      </c>
      <c r="G161" s="40">
        <v>3850</v>
      </c>
      <c r="H161" s="37">
        <v>0</v>
      </c>
      <c r="I161" s="40"/>
    </row>
    <row r="162" spans="1:9">
      <c r="A162" t="s">
        <v>714</v>
      </c>
      <c r="B162" t="s">
        <v>62</v>
      </c>
      <c r="C162" t="s">
        <v>565</v>
      </c>
      <c r="D162" t="s">
        <v>40</v>
      </c>
      <c r="E162" s="37">
        <v>56</v>
      </c>
      <c r="F162" s="37">
        <v>1</v>
      </c>
      <c r="G162" s="37">
        <v>5764</v>
      </c>
      <c r="H162" s="37">
        <v>0</v>
      </c>
      <c r="I162" s="37"/>
    </row>
    <row r="163" spans="1:9">
      <c r="A163" t="s">
        <v>725</v>
      </c>
      <c r="B163" t="s">
        <v>62</v>
      </c>
      <c r="C163" t="s">
        <v>565</v>
      </c>
      <c r="D163" t="s">
        <v>40</v>
      </c>
      <c r="E163" s="37">
        <v>12</v>
      </c>
      <c r="F163" s="37">
        <v>0</v>
      </c>
      <c r="G163" s="37">
        <v>0</v>
      </c>
      <c r="H163" s="37">
        <v>0</v>
      </c>
      <c r="I163" s="37"/>
    </row>
    <row r="164" spans="1:9">
      <c r="A164" t="s">
        <v>726</v>
      </c>
      <c r="B164" t="s">
        <v>62</v>
      </c>
      <c r="C164" t="s">
        <v>565</v>
      </c>
      <c r="D164" t="s">
        <v>40</v>
      </c>
      <c r="E164" s="37">
        <v>10</v>
      </c>
      <c r="F164" s="37">
        <v>1</v>
      </c>
      <c r="G164" s="37">
        <v>7546</v>
      </c>
      <c r="H164" s="37">
        <v>0</v>
      </c>
      <c r="I164" s="37"/>
    </row>
    <row r="165" spans="1:9">
      <c r="A165" t="s">
        <v>717</v>
      </c>
      <c r="B165" t="s">
        <v>62</v>
      </c>
      <c r="C165" t="s">
        <v>565</v>
      </c>
      <c r="D165" t="s">
        <v>40</v>
      </c>
      <c r="E165" s="37">
        <v>9</v>
      </c>
      <c r="F165" s="37">
        <v>0</v>
      </c>
      <c r="G165" s="37">
        <v>0</v>
      </c>
      <c r="H165" s="37">
        <v>0</v>
      </c>
      <c r="I165" s="37"/>
    </row>
    <row r="166" spans="1:9">
      <c r="A166" t="s">
        <v>718</v>
      </c>
      <c r="B166" t="s">
        <v>62</v>
      </c>
      <c r="C166" t="s">
        <v>565</v>
      </c>
      <c r="D166" t="s">
        <v>40</v>
      </c>
      <c r="E166" s="37">
        <v>9</v>
      </c>
      <c r="F166" s="37">
        <v>0</v>
      </c>
      <c r="G166" s="37">
        <v>0</v>
      </c>
      <c r="H166" s="37">
        <v>0</v>
      </c>
      <c r="I166" s="37"/>
    </row>
    <row r="167" spans="1:9">
      <c r="A167" t="s">
        <v>719</v>
      </c>
      <c r="B167" t="s">
        <v>62</v>
      </c>
      <c r="C167" t="s">
        <v>565</v>
      </c>
      <c r="D167" t="s">
        <v>40</v>
      </c>
      <c r="E167" s="37">
        <v>20</v>
      </c>
      <c r="F167" s="37">
        <v>1</v>
      </c>
      <c r="G167" s="40">
        <v>7469</v>
      </c>
      <c r="H167" s="37">
        <v>0</v>
      </c>
      <c r="I167" s="37"/>
    </row>
    <row r="168" spans="1:9">
      <c r="A168" t="s">
        <v>720</v>
      </c>
      <c r="B168" t="s">
        <v>62</v>
      </c>
      <c r="C168" t="s">
        <v>565</v>
      </c>
      <c r="D168" t="s">
        <v>40</v>
      </c>
      <c r="E168" s="37">
        <v>100</v>
      </c>
      <c r="F168" s="37">
        <v>3</v>
      </c>
      <c r="G168" s="37">
        <v>14531</v>
      </c>
      <c r="H168" s="37">
        <v>0</v>
      </c>
      <c r="I168" s="37"/>
    </row>
    <row r="169" spans="1:9">
      <c r="A169" t="s">
        <v>721</v>
      </c>
      <c r="B169" t="s">
        <v>62</v>
      </c>
      <c r="C169" t="s">
        <v>565</v>
      </c>
      <c r="D169" t="s">
        <v>40</v>
      </c>
      <c r="E169" s="37">
        <v>79</v>
      </c>
      <c r="F169" s="37">
        <v>3</v>
      </c>
      <c r="G169" s="37">
        <v>15422</v>
      </c>
      <c r="H169" s="37">
        <v>0</v>
      </c>
      <c r="I169" s="37"/>
    </row>
    <row r="170" spans="1:9">
      <c r="A170" t="s">
        <v>727</v>
      </c>
      <c r="B170" t="s">
        <v>62</v>
      </c>
      <c r="C170" t="s">
        <v>565</v>
      </c>
      <c r="D170" t="s">
        <v>40</v>
      </c>
      <c r="E170" s="37">
        <v>23</v>
      </c>
      <c r="F170" s="37">
        <v>1</v>
      </c>
      <c r="G170" s="37">
        <v>3641</v>
      </c>
      <c r="H170" s="37">
        <v>0</v>
      </c>
      <c r="I170" s="37"/>
    </row>
    <row r="171" spans="1:9">
      <c r="A171" t="s">
        <v>728</v>
      </c>
      <c r="B171" t="s">
        <v>62</v>
      </c>
      <c r="C171" t="s">
        <v>565</v>
      </c>
      <c r="D171" t="s">
        <v>40</v>
      </c>
      <c r="E171" s="37">
        <v>25</v>
      </c>
      <c r="F171" s="37">
        <v>1</v>
      </c>
      <c r="G171" s="40">
        <v>9614</v>
      </c>
      <c r="H171" s="37">
        <v>0</v>
      </c>
      <c r="I171" s="37"/>
    </row>
    <row r="172" spans="1:9">
      <c r="A172" t="s">
        <v>724</v>
      </c>
      <c r="B172" t="s">
        <v>64</v>
      </c>
      <c r="C172" t="s">
        <v>565</v>
      </c>
      <c r="D172" t="s">
        <v>40</v>
      </c>
      <c r="E172" s="37">
        <v>297</v>
      </c>
      <c r="F172" s="37">
        <v>9</v>
      </c>
      <c r="G172" s="37">
        <v>61589</v>
      </c>
      <c r="H172" s="37">
        <v>0</v>
      </c>
      <c r="I172" s="37"/>
    </row>
    <row r="173" spans="1:9">
      <c r="A173" t="s">
        <v>711</v>
      </c>
      <c r="B173" t="s">
        <v>64</v>
      </c>
      <c r="C173" t="s">
        <v>565</v>
      </c>
      <c r="D173" t="s">
        <v>40</v>
      </c>
      <c r="E173" s="37">
        <v>324</v>
      </c>
      <c r="F173" s="37">
        <v>6</v>
      </c>
      <c r="G173" s="37">
        <v>37774</v>
      </c>
      <c r="H173" s="37">
        <v>2</v>
      </c>
      <c r="I173" s="37"/>
    </row>
    <row r="174" spans="1:9">
      <c r="A174" t="s">
        <v>712</v>
      </c>
      <c r="B174" t="s">
        <v>64</v>
      </c>
      <c r="C174" t="s">
        <v>565</v>
      </c>
      <c r="D174" t="s">
        <v>40</v>
      </c>
      <c r="E174" s="37">
        <v>209</v>
      </c>
      <c r="F174" s="37">
        <v>10</v>
      </c>
      <c r="G174" s="40">
        <v>58685</v>
      </c>
      <c r="H174" s="37">
        <v>2</v>
      </c>
      <c r="I174" s="37"/>
    </row>
    <row r="175" spans="1:9">
      <c r="A175" t="s">
        <v>713</v>
      </c>
      <c r="B175" t="s">
        <v>64</v>
      </c>
      <c r="C175" t="s">
        <v>565</v>
      </c>
      <c r="D175" t="s">
        <v>40</v>
      </c>
      <c r="E175" s="37">
        <v>194</v>
      </c>
      <c r="F175" s="37">
        <v>9</v>
      </c>
      <c r="G175" s="40">
        <v>35387</v>
      </c>
      <c r="H175" s="37">
        <v>1</v>
      </c>
      <c r="I175" s="40"/>
    </row>
    <row r="176" spans="1:9">
      <c r="A176" t="s">
        <v>714</v>
      </c>
      <c r="B176" t="s">
        <v>64</v>
      </c>
      <c r="C176" t="s">
        <v>565</v>
      </c>
      <c r="D176" t="s">
        <v>40</v>
      </c>
      <c r="E176" s="37">
        <v>274</v>
      </c>
      <c r="F176" s="37">
        <v>8</v>
      </c>
      <c r="G176" s="40">
        <v>53581</v>
      </c>
      <c r="H176" s="37">
        <v>1</v>
      </c>
      <c r="I176" s="37"/>
    </row>
    <row r="177" spans="1:9">
      <c r="A177" t="s">
        <v>725</v>
      </c>
      <c r="B177" t="s">
        <v>64</v>
      </c>
      <c r="C177" t="s">
        <v>565</v>
      </c>
      <c r="D177" t="s">
        <v>40</v>
      </c>
      <c r="E177" s="37">
        <v>251</v>
      </c>
      <c r="F177" s="37">
        <v>2</v>
      </c>
      <c r="G177" s="37">
        <v>4796</v>
      </c>
      <c r="H177" s="37">
        <v>0</v>
      </c>
      <c r="I177" s="37"/>
    </row>
    <row r="178" spans="1:9">
      <c r="A178" t="s">
        <v>726</v>
      </c>
      <c r="B178" t="s">
        <v>64</v>
      </c>
      <c r="C178" t="s">
        <v>565</v>
      </c>
      <c r="D178" t="s">
        <v>40</v>
      </c>
      <c r="E178" s="37">
        <v>246</v>
      </c>
      <c r="F178" s="37">
        <v>8</v>
      </c>
      <c r="G178" s="37">
        <v>40095</v>
      </c>
      <c r="H178" s="37">
        <v>1</v>
      </c>
      <c r="I178" s="37"/>
    </row>
    <row r="179" spans="1:9">
      <c r="A179" t="s">
        <v>717</v>
      </c>
      <c r="B179" t="s">
        <v>64</v>
      </c>
      <c r="C179" t="s">
        <v>565</v>
      </c>
      <c r="D179" t="s">
        <v>40</v>
      </c>
      <c r="E179" s="37">
        <v>230</v>
      </c>
      <c r="F179" s="37">
        <v>6</v>
      </c>
      <c r="G179" s="40">
        <v>24255</v>
      </c>
      <c r="H179" s="37">
        <v>5</v>
      </c>
      <c r="I179" s="40"/>
    </row>
    <row r="180" spans="1:9">
      <c r="A180" t="s">
        <v>718</v>
      </c>
      <c r="B180" t="s">
        <v>64</v>
      </c>
      <c r="C180" t="s">
        <v>565</v>
      </c>
      <c r="D180" t="s">
        <v>40</v>
      </c>
      <c r="E180" s="37">
        <v>227</v>
      </c>
      <c r="F180" s="37">
        <v>5</v>
      </c>
      <c r="G180" s="40">
        <v>32010</v>
      </c>
      <c r="H180" s="37">
        <v>0</v>
      </c>
      <c r="I180" s="37"/>
    </row>
    <row r="181" spans="1:9">
      <c r="A181" t="s">
        <v>719</v>
      </c>
      <c r="B181" t="s">
        <v>64</v>
      </c>
      <c r="C181" t="s">
        <v>565</v>
      </c>
      <c r="D181" t="s">
        <v>40</v>
      </c>
      <c r="E181" s="37">
        <v>211</v>
      </c>
      <c r="F181" s="37">
        <v>5</v>
      </c>
      <c r="G181" s="40">
        <v>29942</v>
      </c>
      <c r="H181" s="37">
        <v>1</v>
      </c>
      <c r="I181" s="37"/>
    </row>
    <row r="182" spans="1:9">
      <c r="A182" t="s">
        <v>720</v>
      </c>
      <c r="B182" t="s">
        <v>64</v>
      </c>
      <c r="C182" t="s">
        <v>565</v>
      </c>
      <c r="D182" t="s">
        <v>40</v>
      </c>
      <c r="E182" s="37">
        <v>312</v>
      </c>
      <c r="F182" s="37">
        <v>5</v>
      </c>
      <c r="G182" s="37">
        <v>25278</v>
      </c>
      <c r="H182" s="37">
        <v>2</v>
      </c>
      <c r="I182" s="37"/>
    </row>
    <row r="183" spans="1:9">
      <c r="A183" t="s">
        <v>721</v>
      </c>
      <c r="B183" t="s">
        <v>64</v>
      </c>
      <c r="C183" t="s">
        <v>565</v>
      </c>
      <c r="D183" t="s">
        <v>40</v>
      </c>
      <c r="E183" s="37">
        <v>329</v>
      </c>
      <c r="F183" s="37">
        <v>3</v>
      </c>
      <c r="G183" s="40">
        <v>14080</v>
      </c>
      <c r="H183" s="37">
        <v>1</v>
      </c>
      <c r="I183" s="37"/>
    </row>
    <row r="184" spans="1:9">
      <c r="A184" t="s">
        <v>727</v>
      </c>
      <c r="B184" t="s">
        <v>64</v>
      </c>
      <c r="C184" t="s">
        <v>565</v>
      </c>
      <c r="D184" t="s">
        <v>40</v>
      </c>
      <c r="E184" s="37">
        <v>316</v>
      </c>
      <c r="F184" s="37">
        <v>5</v>
      </c>
      <c r="G184" s="37">
        <v>22759</v>
      </c>
      <c r="H184" s="37">
        <v>6</v>
      </c>
      <c r="I184" s="37"/>
    </row>
    <row r="185" spans="1:9">
      <c r="A185" t="s">
        <v>728</v>
      </c>
      <c r="B185" t="s">
        <v>64</v>
      </c>
      <c r="C185" t="s">
        <v>565</v>
      </c>
      <c r="D185" t="s">
        <v>40</v>
      </c>
      <c r="E185" s="37">
        <v>306</v>
      </c>
      <c r="F185" s="37">
        <v>3</v>
      </c>
      <c r="G185" s="37">
        <v>14069</v>
      </c>
      <c r="H185" s="37">
        <v>0</v>
      </c>
      <c r="I185" s="37"/>
    </row>
    <row r="186" spans="1:9">
      <c r="A186" t="s">
        <v>741</v>
      </c>
      <c r="B186" t="s">
        <v>62</v>
      </c>
      <c r="C186" t="s">
        <v>564</v>
      </c>
      <c r="D186" t="s">
        <v>40</v>
      </c>
      <c r="E186" s="37">
        <v>147</v>
      </c>
      <c r="F186" s="37">
        <v>4</v>
      </c>
      <c r="G186" s="40">
        <v>36157</v>
      </c>
      <c r="H186" s="37">
        <v>0</v>
      </c>
      <c r="I186" s="37"/>
    </row>
    <row r="187" spans="1:9">
      <c r="A187" t="s">
        <v>731</v>
      </c>
      <c r="B187" t="s">
        <v>62</v>
      </c>
      <c r="C187" t="s">
        <v>564</v>
      </c>
      <c r="D187" t="s">
        <v>40</v>
      </c>
      <c r="E187" s="37">
        <v>191</v>
      </c>
      <c r="F187" s="37">
        <v>1</v>
      </c>
      <c r="G187" s="40">
        <v>7084</v>
      </c>
      <c r="H187" s="37">
        <v>3</v>
      </c>
      <c r="I187" s="37"/>
    </row>
    <row r="188" spans="1:9">
      <c r="A188" t="s">
        <v>732</v>
      </c>
      <c r="B188" t="s">
        <v>62</v>
      </c>
      <c r="C188" t="s">
        <v>564</v>
      </c>
      <c r="D188" t="s">
        <v>40</v>
      </c>
      <c r="E188" s="37">
        <v>157</v>
      </c>
      <c r="F188" s="37">
        <v>2</v>
      </c>
      <c r="G188" s="40">
        <v>2915</v>
      </c>
      <c r="H188" s="37">
        <v>1</v>
      </c>
      <c r="I188" s="37"/>
    </row>
    <row r="189" spans="1:9">
      <c r="A189" t="s">
        <v>733</v>
      </c>
      <c r="B189" t="s">
        <v>62</v>
      </c>
      <c r="C189" t="s">
        <v>564</v>
      </c>
      <c r="D189" t="s">
        <v>40</v>
      </c>
      <c r="E189" s="37">
        <v>108</v>
      </c>
      <c r="F189" s="37">
        <v>1</v>
      </c>
      <c r="G189" s="40">
        <v>9108</v>
      </c>
      <c r="H189" s="37">
        <v>0</v>
      </c>
      <c r="I189" s="37"/>
    </row>
    <row r="190" spans="1:9">
      <c r="A190" t="s">
        <v>734</v>
      </c>
      <c r="B190" t="s">
        <v>62</v>
      </c>
      <c r="C190" t="s">
        <v>564</v>
      </c>
      <c r="D190" t="s">
        <v>40</v>
      </c>
      <c r="E190" s="37">
        <v>122</v>
      </c>
      <c r="F190" s="37">
        <v>0</v>
      </c>
      <c r="G190" s="40">
        <v>0</v>
      </c>
      <c r="H190" s="37">
        <v>0</v>
      </c>
      <c r="I190" s="37"/>
    </row>
    <row r="191" spans="1:9">
      <c r="A191" t="s">
        <v>741</v>
      </c>
      <c r="B191" t="s">
        <v>64</v>
      </c>
      <c r="C191" t="s">
        <v>564</v>
      </c>
      <c r="D191" t="s">
        <v>40</v>
      </c>
      <c r="E191" s="37">
        <v>225</v>
      </c>
      <c r="F191" s="37">
        <v>8</v>
      </c>
      <c r="G191" s="37">
        <v>70521</v>
      </c>
      <c r="H191" s="37">
        <v>0</v>
      </c>
      <c r="I191" s="37"/>
    </row>
    <row r="192" spans="1:9">
      <c r="A192" t="s">
        <v>731</v>
      </c>
      <c r="B192" t="s">
        <v>64</v>
      </c>
      <c r="C192" t="s">
        <v>564</v>
      </c>
      <c r="D192" t="s">
        <v>40</v>
      </c>
      <c r="E192" s="37">
        <v>203</v>
      </c>
      <c r="F192" s="37">
        <v>6</v>
      </c>
      <c r="G192" s="40">
        <v>41338</v>
      </c>
      <c r="H192" s="37">
        <v>2</v>
      </c>
      <c r="I192" s="37"/>
    </row>
    <row r="193" spans="1:9">
      <c r="A193" t="s">
        <v>732</v>
      </c>
      <c r="B193" t="s">
        <v>64</v>
      </c>
      <c r="C193" t="s">
        <v>564</v>
      </c>
      <c r="D193" t="s">
        <v>40</v>
      </c>
      <c r="E193" s="37">
        <v>215</v>
      </c>
      <c r="F193" s="37">
        <v>7</v>
      </c>
      <c r="G193" s="37">
        <v>71269</v>
      </c>
      <c r="H193" s="37">
        <v>0</v>
      </c>
      <c r="I193" s="37"/>
    </row>
    <row r="194" spans="1:9">
      <c r="A194" t="s">
        <v>733</v>
      </c>
      <c r="B194" t="s">
        <v>64</v>
      </c>
      <c r="C194" t="s">
        <v>564</v>
      </c>
      <c r="D194" t="s">
        <v>40</v>
      </c>
      <c r="E194" s="37">
        <v>197</v>
      </c>
      <c r="F194" s="37">
        <v>10</v>
      </c>
      <c r="G194" s="37">
        <v>90156</v>
      </c>
      <c r="H194" s="37">
        <v>3</v>
      </c>
      <c r="I194" s="37"/>
    </row>
    <row r="195" spans="1:9">
      <c r="A195" t="s">
        <v>734</v>
      </c>
      <c r="B195" t="s">
        <v>64</v>
      </c>
      <c r="C195" t="s">
        <v>564</v>
      </c>
      <c r="D195" t="s">
        <v>40</v>
      </c>
      <c r="E195" s="37">
        <v>227</v>
      </c>
      <c r="F195" s="37">
        <v>6</v>
      </c>
      <c r="G195" s="37">
        <v>60478</v>
      </c>
      <c r="H195" s="37">
        <v>0</v>
      </c>
      <c r="I195" s="37"/>
    </row>
    <row r="196" spans="1:9">
      <c r="A196" t="s">
        <v>735</v>
      </c>
      <c r="B196" t="s">
        <v>64</v>
      </c>
      <c r="C196" t="s">
        <v>564</v>
      </c>
      <c r="D196" t="s">
        <v>40</v>
      </c>
      <c r="E196" s="37">
        <v>12</v>
      </c>
      <c r="F196" s="37">
        <v>1</v>
      </c>
      <c r="G196" s="37">
        <v>3938</v>
      </c>
      <c r="H196" s="37">
        <v>0</v>
      </c>
      <c r="I196" s="37"/>
    </row>
    <row r="197" spans="1:9">
      <c r="A197" t="s">
        <v>739</v>
      </c>
      <c r="B197" t="s">
        <v>64</v>
      </c>
      <c r="C197" t="s">
        <v>564</v>
      </c>
      <c r="D197" t="s">
        <v>40</v>
      </c>
      <c r="E197" s="37">
        <v>14</v>
      </c>
      <c r="F197" s="37">
        <v>0</v>
      </c>
      <c r="G197" s="37">
        <v>0</v>
      </c>
      <c r="H197" s="37">
        <v>0</v>
      </c>
      <c r="I197" s="37"/>
    </row>
    <row r="198" spans="1:9">
      <c r="A198" t="s">
        <v>741</v>
      </c>
      <c r="B198" t="s">
        <v>62</v>
      </c>
      <c r="C198" t="s">
        <v>565</v>
      </c>
      <c r="D198" t="s">
        <v>40</v>
      </c>
      <c r="E198" s="37">
        <v>80</v>
      </c>
      <c r="F198" s="37">
        <v>2</v>
      </c>
      <c r="G198" s="37">
        <v>12331</v>
      </c>
      <c r="H198" s="37">
        <v>0</v>
      </c>
      <c r="I198" s="37"/>
    </row>
    <row r="199" spans="1:9">
      <c r="A199" t="s">
        <v>731</v>
      </c>
      <c r="B199" t="s">
        <v>62</v>
      </c>
      <c r="C199" t="s">
        <v>565</v>
      </c>
      <c r="D199" t="s">
        <v>40</v>
      </c>
      <c r="E199" s="37">
        <v>121</v>
      </c>
      <c r="F199" s="37">
        <v>4</v>
      </c>
      <c r="G199" s="37">
        <v>24068</v>
      </c>
      <c r="H199" s="37">
        <v>1</v>
      </c>
      <c r="I199" s="37"/>
    </row>
    <row r="200" spans="1:9">
      <c r="A200" t="s">
        <v>732</v>
      </c>
      <c r="B200" t="s">
        <v>62</v>
      </c>
      <c r="C200" t="s">
        <v>565</v>
      </c>
      <c r="D200" t="s">
        <v>40</v>
      </c>
      <c r="E200" s="37">
        <v>105</v>
      </c>
      <c r="F200" s="37">
        <v>4</v>
      </c>
      <c r="G200" s="37">
        <v>21417</v>
      </c>
      <c r="H200" s="37">
        <v>1</v>
      </c>
      <c r="I200" s="37"/>
    </row>
    <row r="201" spans="1:9">
      <c r="A201" t="s">
        <v>733</v>
      </c>
      <c r="B201" t="s">
        <v>62</v>
      </c>
      <c r="C201" t="s">
        <v>565</v>
      </c>
      <c r="D201" t="s">
        <v>40</v>
      </c>
      <c r="E201" s="37">
        <v>97</v>
      </c>
      <c r="F201" s="37">
        <v>2</v>
      </c>
      <c r="G201" s="37">
        <v>7139</v>
      </c>
      <c r="H201" s="37">
        <v>0</v>
      </c>
      <c r="I201" s="37"/>
    </row>
    <row r="202" spans="1:9">
      <c r="A202" t="s">
        <v>734</v>
      </c>
      <c r="B202" t="s">
        <v>62</v>
      </c>
      <c r="C202" t="s">
        <v>565</v>
      </c>
      <c r="D202" t="s">
        <v>40</v>
      </c>
      <c r="E202" s="37">
        <v>140</v>
      </c>
      <c r="F202" s="37">
        <v>3</v>
      </c>
      <c r="G202" s="37">
        <v>12749</v>
      </c>
      <c r="H202" s="37">
        <v>0</v>
      </c>
      <c r="I202" s="37"/>
    </row>
    <row r="203" spans="1:9">
      <c r="A203" t="s">
        <v>735</v>
      </c>
      <c r="B203" t="s">
        <v>62</v>
      </c>
      <c r="C203" t="s">
        <v>565</v>
      </c>
      <c r="D203" t="s">
        <v>40</v>
      </c>
      <c r="E203" s="37">
        <v>19</v>
      </c>
      <c r="F203" s="37">
        <v>0</v>
      </c>
      <c r="G203" s="37">
        <v>0</v>
      </c>
      <c r="H203" s="37">
        <v>0</v>
      </c>
      <c r="I203" s="37"/>
    </row>
    <row r="204" spans="1:9">
      <c r="A204" t="s">
        <v>739</v>
      </c>
      <c r="B204" t="s">
        <v>62</v>
      </c>
      <c r="C204" t="s">
        <v>565</v>
      </c>
      <c r="D204" t="s">
        <v>40</v>
      </c>
      <c r="E204" s="37">
        <v>16</v>
      </c>
      <c r="F204" s="37">
        <v>1</v>
      </c>
      <c r="G204" s="37">
        <v>4334</v>
      </c>
      <c r="H204" s="37">
        <v>0</v>
      </c>
      <c r="I204" s="37"/>
    </row>
    <row r="205" spans="1:9">
      <c r="A205" t="s">
        <v>741</v>
      </c>
      <c r="B205" t="s">
        <v>64</v>
      </c>
      <c r="C205" t="s">
        <v>565</v>
      </c>
      <c r="D205" t="s">
        <v>40</v>
      </c>
      <c r="E205" s="37">
        <v>328</v>
      </c>
      <c r="F205" s="37">
        <v>4</v>
      </c>
      <c r="G205" s="37">
        <v>21263</v>
      </c>
      <c r="H205" s="37">
        <v>2</v>
      </c>
      <c r="I205" s="37"/>
    </row>
    <row r="206" spans="1:9">
      <c r="A206" t="s">
        <v>731</v>
      </c>
      <c r="B206" t="s">
        <v>64</v>
      </c>
      <c r="C206" t="s">
        <v>565</v>
      </c>
      <c r="D206" t="s">
        <v>40</v>
      </c>
      <c r="E206" s="37">
        <v>323</v>
      </c>
      <c r="F206" s="37">
        <v>8</v>
      </c>
      <c r="G206" s="40">
        <v>47311</v>
      </c>
      <c r="H206" s="37">
        <v>2</v>
      </c>
      <c r="I206" s="37"/>
    </row>
    <row r="207" spans="1:9">
      <c r="A207" t="s">
        <v>732</v>
      </c>
      <c r="B207" t="s">
        <v>64</v>
      </c>
      <c r="C207" t="s">
        <v>565</v>
      </c>
      <c r="D207" t="s">
        <v>40</v>
      </c>
      <c r="E207" s="37">
        <v>328</v>
      </c>
      <c r="F207" s="37">
        <v>2</v>
      </c>
      <c r="G207" s="37">
        <v>9405</v>
      </c>
      <c r="H207" s="37">
        <v>0</v>
      </c>
      <c r="I207" s="37"/>
    </row>
    <row r="208" spans="1:9">
      <c r="A208" t="s">
        <v>733</v>
      </c>
      <c r="B208" t="s">
        <v>64</v>
      </c>
      <c r="C208" t="s">
        <v>565</v>
      </c>
      <c r="D208" t="s">
        <v>40</v>
      </c>
      <c r="E208" s="37">
        <v>246</v>
      </c>
      <c r="F208" s="37">
        <v>11</v>
      </c>
      <c r="G208" s="37">
        <v>52195</v>
      </c>
      <c r="H208" s="37">
        <v>1</v>
      </c>
      <c r="I208" s="37"/>
    </row>
    <row r="209" spans="1:9">
      <c r="A209" t="s">
        <v>734</v>
      </c>
      <c r="B209" t="s">
        <v>64</v>
      </c>
      <c r="C209" t="s">
        <v>565</v>
      </c>
      <c r="D209" t="s">
        <v>40</v>
      </c>
      <c r="E209" s="37">
        <v>230</v>
      </c>
      <c r="F209" s="37">
        <v>9</v>
      </c>
      <c r="G209" s="37">
        <v>40150</v>
      </c>
      <c r="H209" s="37">
        <v>1</v>
      </c>
      <c r="I209" s="37"/>
    </row>
    <row r="210" spans="1:9">
      <c r="A210" t="s">
        <v>735</v>
      </c>
      <c r="B210" t="s">
        <v>64</v>
      </c>
      <c r="C210" t="s">
        <v>565</v>
      </c>
      <c r="D210" t="s">
        <v>40</v>
      </c>
      <c r="E210" s="37">
        <v>202</v>
      </c>
      <c r="F210" s="37">
        <v>1</v>
      </c>
      <c r="G210" s="37">
        <v>418</v>
      </c>
      <c r="H210" s="37">
        <v>1</v>
      </c>
      <c r="I210" s="37"/>
    </row>
    <row r="211" spans="1:9">
      <c r="A211" t="s">
        <v>739</v>
      </c>
      <c r="B211" t="s">
        <v>64</v>
      </c>
      <c r="C211" t="s">
        <v>565</v>
      </c>
      <c r="D211" t="s">
        <v>40</v>
      </c>
      <c r="E211" s="37">
        <v>209</v>
      </c>
      <c r="F211" s="37">
        <v>6</v>
      </c>
      <c r="G211" s="37">
        <v>22154</v>
      </c>
      <c r="H211" s="37">
        <v>0</v>
      </c>
      <c r="I211" s="37"/>
    </row>
    <row r="212" spans="1:9">
      <c r="A212" t="s">
        <v>746</v>
      </c>
      <c r="B212" t="s">
        <v>62</v>
      </c>
      <c r="C212" t="s">
        <v>564</v>
      </c>
      <c r="D212" t="s">
        <v>40</v>
      </c>
      <c r="E212" s="37">
        <v>52</v>
      </c>
      <c r="F212" s="37">
        <v>0</v>
      </c>
      <c r="G212" s="40">
        <v>0</v>
      </c>
      <c r="H212" s="37">
        <v>0</v>
      </c>
      <c r="I212" s="37"/>
    </row>
    <row r="213" spans="1:9">
      <c r="A213" t="s">
        <v>747</v>
      </c>
      <c r="B213" t="s">
        <v>62</v>
      </c>
      <c r="C213" t="s">
        <v>564</v>
      </c>
      <c r="D213" t="s">
        <v>40</v>
      </c>
      <c r="E213" s="37">
        <v>80</v>
      </c>
      <c r="F213" s="37">
        <v>3</v>
      </c>
      <c r="G213" s="40">
        <v>17413</v>
      </c>
      <c r="H213" s="37">
        <v>0</v>
      </c>
      <c r="I213" s="37"/>
    </row>
    <row r="214" spans="1:9">
      <c r="A214" t="s">
        <v>748</v>
      </c>
      <c r="B214" t="s">
        <v>62</v>
      </c>
      <c r="C214" t="s">
        <v>564</v>
      </c>
      <c r="D214" t="s">
        <v>40</v>
      </c>
      <c r="E214" s="37">
        <v>153</v>
      </c>
      <c r="F214" s="37">
        <v>1</v>
      </c>
      <c r="G214" s="37">
        <v>4290</v>
      </c>
      <c r="H214" s="37">
        <v>0</v>
      </c>
      <c r="I214" s="37"/>
    </row>
    <row r="215" spans="1:9">
      <c r="A215" t="s">
        <v>749</v>
      </c>
      <c r="B215" t="s">
        <v>62</v>
      </c>
      <c r="C215" t="s">
        <v>564</v>
      </c>
      <c r="D215" t="s">
        <v>40</v>
      </c>
      <c r="E215" s="37">
        <v>123</v>
      </c>
      <c r="F215" s="37">
        <v>2</v>
      </c>
      <c r="G215" s="40">
        <v>16819</v>
      </c>
      <c r="H215" s="37">
        <v>3</v>
      </c>
      <c r="I215" s="37"/>
    </row>
    <row r="216" spans="1:9">
      <c r="A216" t="s">
        <v>750</v>
      </c>
      <c r="B216" t="s">
        <v>62</v>
      </c>
      <c r="C216" t="s">
        <v>564</v>
      </c>
      <c r="D216" t="s">
        <v>40</v>
      </c>
      <c r="E216" s="37">
        <v>129</v>
      </c>
      <c r="F216" s="37">
        <v>2</v>
      </c>
      <c r="G216" s="40">
        <v>12760</v>
      </c>
      <c r="H216" s="37">
        <v>0</v>
      </c>
      <c r="I216" s="40"/>
    </row>
    <row r="217" spans="1:9">
      <c r="A217" t="s">
        <v>746</v>
      </c>
      <c r="B217" t="s">
        <v>64</v>
      </c>
      <c r="C217" t="s">
        <v>564</v>
      </c>
      <c r="D217" t="s">
        <v>40</v>
      </c>
      <c r="E217" s="37">
        <v>161</v>
      </c>
      <c r="F217" s="37">
        <v>5</v>
      </c>
      <c r="G217" s="40">
        <v>36498</v>
      </c>
      <c r="H217" s="37">
        <v>1</v>
      </c>
      <c r="I217" s="37"/>
    </row>
    <row r="218" spans="1:9">
      <c r="A218" t="s">
        <v>747</v>
      </c>
      <c r="B218" t="s">
        <v>64</v>
      </c>
      <c r="C218" t="s">
        <v>564</v>
      </c>
      <c r="D218" t="s">
        <v>40</v>
      </c>
      <c r="E218" s="37">
        <v>131</v>
      </c>
      <c r="F218" s="37">
        <v>8</v>
      </c>
      <c r="G218" s="40">
        <v>40392</v>
      </c>
      <c r="H218" s="37">
        <v>0</v>
      </c>
      <c r="I218" s="37"/>
    </row>
    <row r="219" spans="1:9">
      <c r="A219" t="s">
        <v>748</v>
      </c>
      <c r="B219" t="s">
        <v>64</v>
      </c>
      <c r="C219" t="s">
        <v>564</v>
      </c>
      <c r="D219" t="s">
        <v>40</v>
      </c>
      <c r="E219" s="37">
        <v>226</v>
      </c>
      <c r="F219" s="37">
        <v>15</v>
      </c>
      <c r="G219" s="40">
        <v>114477</v>
      </c>
      <c r="H219" s="37">
        <v>3</v>
      </c>
      <c r="I219" s="40"/>
    </row>
    <row r="220" spans="1:9">
      <c r="A220" t="s">
        <v>749</v>
      </c>
      <c r="B220" t="s">
        <v>64</v>
      </c>
      <c r="C220" t="s">
        <v>564</v>
      </c>
      <c r="D220" t="s">
        <v>40</v>
      </c>
      <c r="E220" s="37">
        <v>201</v>
      </c>
      <c r="F220" s="37">
        <v>13</v>
      </c>
      <c r="G220" s="40">
        <v>128348</v>
      </c>
      <c r="H220" s="37">
        <v>6</v>
      </c>
      <c r="I220" s="37"/>
    </row>
    <row r="221" spans="1:9">
      <c r="A221" t="s">
        <v>750</v>
      </c>
      <c r="B221" t="s">
        <v>64</v>
      </c>
      <c r="C221" t="s">
        <v>564</v>
      </c>
      <c r="D221" t="s">
        <v>40</v>
      </c>
      <c r="E221" s="37">
        <v>229</v>
      </c>
      <c r="F221" s="37">
        <v>11</v>
      </c>
      <c r="G221" s="40">
        <v>78771</v>
      </c>
      <c r="H221" s="37">
        <v>5</v>
      </c>
      <c r="I221" s="37"/>
    </row>
    <row r="222" spans="1:9">
      <c r="A222" t="s">
        <v>751</v>
      </c>
      <c r="B222" t="s">
        <v>64</v>
      </c>
      <c r="C222" t="s">
        <v>564</v>
      </c>
      <c r="D222" t="s">
        <v>40</v>
      </c>
      <c r="E222" s="37">
        <v>26</v>
      </c>
      <c r="F222" s="37">
        <v>0</v>
      </c>
      <c r="G222" s="37">
        <v>0</v>
      </c>
      <c r="H222" s="37">
        <v>0</v>
      </c>
      <c r="I222" s="37"/>
    </row>
    <row r="223" spans="1:9">
      <c r="A223" t="s">
        <v>752</v>
      </c>
      <c r="B223" t="s">
        <v>64</v>
      </c>
      <c r="C223" t="s">
        <v>564</v>
      </c>
      <c r="D223" t="s">
        <v>40</v>
      </c>
      <c r="E223" s="37">
        <v>28</v>
      </c>
      <c r="F223" s="37">
        <v>1</v>
      </c>
      <c r="G223" s="40">
        <v>7667</v>
      </c>
      <c r="H223" s="37">
        <v>1</v>
      </c>
      <c r="I223" s="40"/>
    </row>
    <row r="224" spans="1:9">
      <c r="A224" t="s">
        <v>746</v>
      </c>
      <c r="B224" t="s">
        <v>62</v>
      </c>
      <c r="C224" t="s">
        <v>565</v>
      </c>
      <c r="D224" t="s">
        <v>40</v>
      </c>
      <c r="E224" s="37">
        <v>140</v>
      </c>
      <c r="F224" s="37">
        <v>1</v>
      </c>
      <c r="G224" s="40">
        <v>594</v>
      </c>
      <c r="H224" s="37">
        <v>0</v>
      </c>
      <c r="I224" s="37"/>
    </row>
    <row r="225" spans="1:9">
      <c r="A225" t="s">
        <v>747</v>
      </c>
      <c r="B225" t="s">
        <v>62</v>
      </c>
      <c r="C225" t="s">
        <v>565</v>
      </c>
      <c r="D225" t="s">
        <v>40</v>
      </c>
      <c r="E225" s="37">
        <v>88</v>
      </c>
      <c r="F225" s="37">
        <v>2</v>
      </c>
      <c r="G225" s="40">
        <v>11220</v>
      </c>
      <c r="H225" s="37">
        <v>0</v>
      </c>
      <c r="I225" s="37"/>
    </row>
    <row r="226" spans="1:9">
      <c r="A226" t="s">
        <v>748</v>
      </c>
      <c r="B226" t="s">
        <v>62</v>
      </c>
      <c r="C226" t="s">
        <v>565</v>
      </c>
      <c r="D226" t="s">
        <v>40</v>
      </c>
      <c r="E226" s="37">
        <v>117</v>
      </c>
      <c r="F226" s="37">
        <v>7</v>
      </c>
      <c r="G226" s="40">
        <v>29502</v>
      </c>
      <c r="H226" s="37">
        <v>2</v>
      </c>
      <c r="I226" s="37"/>
    </row>
    <row r="227" spans="1:9">
      <c r="A227" t="s">
        <v>749</v>
      </c>
      <c r="B227" t="s">
        <v>62</v>
      </c>
      <c r="C227" t="s">
        <v>565</v>
      </c>
      <c r="D227" t="s">
        <v>40</v>
      </c>
      <c r="E227" s="37">
        <v>88</v>
      </c>
      <c r="F227" s="37">
        <v>4</v>
      </c>
      <c r="G227" s="37">
        <v>19151</v>
      </c>
      <c r="H227" s="37">
        <v>0</v>
      </c>
      <c r="I227" s="37"/>
    </row>
    <row r="228" spans="1:9">
      <c r="A228" t="s">
        <v>750</v>
      </c>
      <c r="B228" t="s">
        <v>62</v>
      </c>
      <c r="C228" t="s">
        <v>565</v>
      </c>
      <c r="D228" t="s">
        <v>40</v>
      </c>
      <c r="E228" s="37">
        <v>74</v>
      </c>
      <c r="F228" s="37">
        <v>4</v>
      </c>
      <c r="G228" s="40">
        <v>17457</v>
      </c>
      <c r="H228" s="37">
        <v>1</v>
      </c>
      <c r="I228" s="37"/>
    </row>
    <row r="229" spans="1:9">
      <c r="A229" t="s">
        <v>751</v>
      </c>
      <c r="B229" t="s">
        <v>62</v>
      </c>
      <c r="C229" t="s">
        <v>565</v>
      </c>
      <c r="D229" t="s">
        <v>40</v>
      </c>
      <c r="E229" s="37">
        <v>33</v>
      </c>
      <c r="F229" s="37">
        <v>0</v>
      </c>
      <c r="G229" s="40">
        <v>0</v>
      </c>
      <c r="H229" s="37">
        <v>0</v>
      </c>
      <c r="I229" s="37"/>
    </row>
    <row r="230" spans="1:9">
      <c r="A230" t="s">
        <v>752</v>
      </c>
      <c r="B230" t="s">
        <v>62</v>
      </c>
      <c r="C230" t="s">
        <v>565</v>
      </c>
      <c r="D230" t="s">
        <v>40</v>
      </c>
      <c r="E230" s="37">
        <v>36</v>
      </c>
      <c r="F230" s="37">
        <v>2</v>
      </c>
      <c r="G230" s="37">
        <v>8129</v>
      </c>
      <c r="H230" s="37">
        <v>0</v>
      </c>
      <c r="I230" s="37"/>
    </row>
    <row r="231" spans="1:9">
      <c r="A231" t="s">
        <v>746</v>
      </c>
      <c r="B231" t="s">
        <v>64</v>
      </c>
      <c r="C231" t="s">
        <v>565</v>
      </c>
      <c r="D231" t="s">
        <v>40</v>
      </c>
      <c r="E231" s="37">
        <v>228</v>
      </c>
      <c r="F231" s="37">
        <v>4</v>
      </c>
      <c r="G231" s="40">
        <v>23408</v>
      </c>
      <c r="H231" s="37">
        <v>1</v>
      </c>
      <c r="I231" s="37"/>
    </row>
    <row r="232" spans="1:9">
      <c r="A232" t="s">
        <v>747</v>
      </c>
      <c r="B232" t="s">
        <v>64</v>
      </c>
      <c r="C232" t="s">
        <v>565</v>
      </c>
      <c r="D232" t="s">
        <v>40</v>
      </c>
      <c r="E232" s="37">
        <v>220</v>
      </c>
      <c r="F232" s="37">
        <v>4</v>
      </c>
      <c r="G232" s="37">
        <v>22649</v>
      </c>
      <c r="H232" s="37">
        <v>0</v>
      </c>
      <c r="I232" s="37"/>
    </row>
    <row r="233" spans="1:9">
      <c r="A233" t="s">
        <v>748</v>
      </c>
      <c r="B233" t="s">
        <v>64</v>
      </c>
      <c r="C233" t="s">
        <v>565</v>
      </c>
      <c r="D233" t="s">
        <v>40</v>
      </c>
      <c r="E233" s="37">
        <v>231</v>
      </c>
      <c r="F233" s="37">
        <v>10</v>
      </c>
      <c r="G233" s="37">
        <v>51095</v>
      </c>
      <c r="H233" s="37">
        <v>1</v>
      </c>
      <c r="I233" s="37"/>
    </row>
    <row r="234" spans="1:9">
      <c r="A234" t="s">
        <v>749</v>
      </c>
      <c r="B234" t="s">
        <v>64</v>
      </c>
      <c r="C234" t="s">
        <v>565</v>
      </c>
      <c r="D234" t="s">
        <v>40</v>
      </c>
      <c r="E234" s="37">
        <v>181</v>
      </c>
      <c r="F234" s="37">
        <v>7</v>
      </c>
      <c r="G234" s="40">
        <v>33715</v>
      </c>
      <c r="H234" s="37">
        <v>2</v>
      </c>
      <c r="I234" s="37"/>
    </row>
    <row r="235" spans="1:9">
      <c r="A235" t="s">
        <v>750</v>
      </c>
      <c r="B235" t="s">
        <v>64</v>
      </c>
      <c r="C235" t="s">
        <v>565</v>
      </c>
      <c r="D235" t="s">
        <v>40</v>
      </c>
      <c r="E235" s="37">
        <v>222</v>
      </c>
      <c r="F235" s="37">
        <v>7</v>
      </c>
      <c r="G235" s="40">
        <v>42394</v>
      </c>
      <c r="H235" s="37">
        <v>2</v>
      </c>
      <c r="I235" s="40"/>
    </row>
    <row r="236" spans="1:9">
      <c r="A236" t="s">
        <v>751</v>
      </c>
      <c r="B236" t="s">
        <v>64</v>
      </c>
      <c r="C236" t="s">
        <v>565</v>
      </c>
      <c r="D236" t="s">
        <v>40</v>
      </c>
      <c r="E236" s="37">
        <v>199</v>
      </c>
      <c r="F236" s="37">
        <v>5</v>
      </c>
      <c r="G236" s="37">
        <v>13893</v>
      </c>
      <c r="H236" s="37">
        <v>1</v>
      </c>
      <c r="I236" s="37"/>
    </row>
    <row r="237" spans="1:9">
      <c r="A237" t="s">
        <v>752</v>
      </c>
      <c r="B237" t="s">
        <v>64</v>
      </c>
      <c r="C237" t="s">
        <v>565</v>
      </c>
      <c r="D237" t="s">
        <v>40</v>
      </c>
      <c r="E237" s="37">
        <v>183</v>
      </c>
      <c r="F237" s="37">
        <v>5</v>
      </c>
      <c r="G237" s="40">
        <v>13079</v>
      </c>
      <c r="H237" s="37">
        <v>0</v>
      </c>
      <c r="I237" s="37"/>
    </row>
    <row r="238" spans="1:9">
      <c r="E238" s="37"/>
      <c r="F238" s="37"/>
      <c r="G238" s="37"/>
      <c r="H238" s="37"/>
      <c r="I238" s="37"/>
    </row>
    <row r="239" spans="1:9">
      <c r="E239" s="37"/>
      <c r="F239" s="37"/>
      <c r="G239" s="37"/>
      <c r="H239" s="37"/>
      <c r="I239" s="37"/>
    </row>
    <row r="240" spans="1:9">
      <c r="E240" s="37"/>
      <c r="F240" s="37"/>
      <c r="G240" s="37"/>
      <c r="H240" s="37"/>
      <c r="I240" s="37"/>
    </row>
    <row r="241" spans="5:9">
      <c r="E241" s="37"/>
      <c r="F241" s="37"/>
      <c r="G241" s="40"/>
      <c r="H241" s="37"/>
      <c r="I241" s="37"/>
    </row>
    <row r="242" spans="5:9">
      <c r="E242" s="37"/>
      <c r="F242" s="37"/>
      <c r="G242" s="37"/>
      <c r="H242" s="37"/>
      <c r="I242" s="37"/>
    </row>
    <row r="243" spans="5:9">
      <c r="E243" s="37"/>
      <c r="F243" s="37"/>
      <c r="G243" s="40"/>
      <c r="H243" s="37"/>
      <c r="I243" s="37"/>
    </row>
    <row r="244" spans="5:9">
      <c r="E244" s="37"/>
      <c r="F244" s="37"/>
      <c r="G244" s="37"/>
      <c r="H244" s="37"/>
      <c r="I244" s="37"/>
    </row>
    <row r="245" spans="5:9">
      <c r="E245" s="37"/>
      <c r="F245" s="37"/>
      <c r="G245" s="40"/>
      <c r="H245" s="37"/>
      <c r="I245" s="37"/>
    </row>
    <row r="246" spans="5:9">
      <c r="E246" s="37"/>
      <c r="F246" s="37"/>
      <c r="G246" s="37"/>
      <c r="H246" s="37"/>
      <c r="I246" s="37"/>
    </row>
    <row r="247" spans="5:9">
      <c r="E247" s="37"/>
      <c r="F247" s="37"/>
      <c r="G247" s="37"/>
      <c r="H247" s="37"/>
      <c r="I247" s="37"/>
    </row>
    <row r="248" spans="5:9">
      <c r="E248" s="37"/>
      <c r="F248" s="37"/>
      <c r="G248" s="40"/>
      <c r="H248" s="37"/>
      <c r="I248" s="40"/>
    </row>
    <row r="249" spans="5:9">
      <c r="E249" s="37"/>
      <c r="F249" s="37"/>
      <c r="G249" s="40"/>
      <c r="H249" s="37"/>
      <c r="I249" s="40"/>
    </row>
    <row r="250" spans="5:9">
      <c r="E250" s="37"/>
      <c r="F250" s="37"/>
      <c r="G250" s="37"/>
      <c r="H250" s="37"/>
      <c r="I250" s="37"/>
    </row>
    <row r="251" spans="5:9">
      <c r="E251" s="37"/>
      <c r="F251" s="37"/>
      <c r="G251" s="37"/>
      <c r="H251" s="37"/>
      <c r="I251" s="37"/>
    </row>
    <row r="252" spans="5:9">
      <c r="E252" s="37"/>
      <c r="F252" s="37"/>
      <c r="G252" s="37"/>
      <c r="H252" s="37"/>
      <c r="I252" s="37"/>
    </row>
    <row r="253" spans="5:9">
      <c r="E253" s="37"/>
      <c r="F253" s="37"/>
      <c r="G253" s="40"/>
      <c r="H253" s="37"/>
      <c r="I253" s="40"/>
    </row>
    <row r="254" spans="5:9">
      <c r="E254" s="37"/>
      <c r="F254" s="37"/>
      <c r="G254" s="40"/>
      <c r="H254" s="37"/>
      <c r="I254" s="37"/>
    </row>
    <row r="255" spans="5:9">
      <c r="E255" s="37"/>
      <c r="F255" s="37"/>
      <c r="G255" s="40"/>
      <c r="H255" s="37"/>
      <c r="I255" s="37"/>
    </row>
    <row r="256" spans="5:9">
      <c r="E256" s="37"/>
      <c r="F256" s="37"/>
      <c r="G256" s="37"/>
      <c r="H256" s="37"/>
      <c r="I256" s="37"/>
    </row>
    <row r="257" spans="5:9">
      <c r="E257" s="37"/>
      <c r="F257" s="37"/>
      <c r="G257" s="40"/>
      <c r="H257" s="37"/>
      <c r="I257" s="37"/>
    </row>
    <row r="258" spans="5:9">
      <c r="E258" s="37"/>
      <c r="F258" s="37"/>
      <c r="G258" s="37"/>
      <c r="H258" s="37"/>
      <c r="I258" s="37"/>
    </row>
    <row r="259" spans="5:9">
      <c r="E259" s="37"/>
      <c r="F259" s="37"/>
      <c r="G259" s="37"/>
      <c r="H259" s="37"/>
      <c r="I259" s="37"/>
    </row>
    <row r="260" spans="5:9">
      <c r="E260" s="37"/>
      <c r="F260" s="37"/>
      <c r="G260" s="40"/>
      <c r="H260" s="37"/>
      <c r="I260" s="37"/>
    </row>
    <row r="261" spans="5:9">
      <c r="E261" s="37"/>
      <c r="F261" s="37"/>
      <c r="G261" s="40"/>
      <c r="H261" s="37"/>
      <c r="I261" s="37"/>
    </row>
    <row r="262" spans="5:9">
      <c r="E262" s="37"/>
      <c r="F262" s="37"/>
      <c r="G262" s="37"/>
      <c r="H262" s="37"/>
      <c r="I262" s="37"/>
    </row>
    <row r="263" spans="5:9">
      <c r="E263" s="37"/>
      <c r="F263" s="37"/>
      <c r="G263" s="40"/>
      <c r="H263" s="37"/>
      <c r="I263" s="37"/>
    </row>
    <row r="264" spans="5:9">
      <c r="E264" s="37"/>
      <c r="F264" s="37"/>
      <c r="G264" s="40"/>
      <c r="H264" s="37"/>
      <c r="I264" s="37"/>
    </row>
    <row r="265" spans="5:9">
      <c r="E265" s="37"/>
      <c r="F265" s="37"/>
      <c r="G265" s="40"/>
      <c r="H265" s="37"/>
      <c r="I265" s="37"/>
    </row>
    <row r="266" spans="5:9">
      <c r="E266" s="37"/>
      <c r="F266" s="37"/>
      <c r="G266" s="40"/>
      <c r="H266" s="37"/>
      <c r="I266" s="37"/>
    </row>
    <row r="267" spans="5:9">
      <c r="E267" s="37"/>
      <c r="F267" s="37"/>
      <c r="G267" s="37"/>
      <c r="H267" s="37"/>
      <c r="I267" s="37"/>
    </row>
    <row r="268" spans="5:9">
      <c r="E268" s="37"/>
      <c r="F268" s="37"/>
      <c r="G268" s="37"/>
      <c r="H268" s="37"/>
      <c r="I268" s="37"/>
    </row>
    <row r="269" spans="5:9">
      <c r="E269" s="37"/>
      <c r="F269" s="37"/>
      <c r="G269" s="40"/>
      <c r="H269" s="37"/>
      <c r="I269" s="37"/>
    </row>
    <row r="270" spans="5:9">
      <c r="E270" s="37"/>
      <c r="F270" s="37"/>
      <c r="G270" s="40"/>
      <c r="H270" s="37"/>
      <c r="I270" s="40"/>
    </row>
    <row r="271" spans="5:9">
      <c r="E271" s="37"/>
      <c r="F271" s="37"/>
      <c r="G271" s="37"/>
      <c r="H271" s="37"/>
      <c r="I271" s="37"/>
    </row>
    <row r="272" spans="5:9">
      <c r="E272" s="37"/>
      <c r="F272" s="37"/>
      <c r="G272" s="40"/>
      <c r="H272" s="37"/>
      <c r="I272" s="37"/>
    </row>
    <row r="273" spans="5:9">
      <c r="E273" s="37"/>
      <c r="F273" s="37"/>
      <c r="G273" s="37"/>
      <c r="H273" s="37"/>
      <c r="I273" s="37"/>
    </row>
    <row r="274" spans="5:9">
      <c r="E274" s="37"/>
      <c r="F274" s="37"/>
      <c r="G274" s="37"/>
      <c r="H274" s="37"/>
      <c r="I274" s="37"/>
    </row>
    <row r="275" spans="5:9">
      <c r="E275" s="37"/>
      <c r="F275" s="37"/>
      <c r="G275" s="37"/>
      <c r="H275" s="37"/>
      <c r="I275" s="37"/>
    </row>
    <row r="276" spans="5:9">
      <c r="E276" s="37"/>
      <c r="F276" s="37"/>
      <c r="G276" s="37"/>
      <c r="H276" s="37"/>
      <c r="I276" s="37"/>
    </row>
    <row r="277" spans="5:9">
      <c r="E277" s="37"/>
      <c r="F277" s="37"/>
      <c r="G277" s="37"/>
      <c r="H277" s="37"/>
      <c r="I277" s="37"/>
    </row>
    <row r="278" spans="5:9">
      <c r="E278" s="37"/>
      <c r="F278" s="37"/>
      <c r="G278" s="37"/>
      <c r="H278" s="37"/>
      <c r="I278" s="37"/>
    </row>
    <row r="279" spans="5:9">
      <c r="E279" s="37"/>
      <c r="F279" s="37"/>
      <c r="G279" s="37"/>
      <c r="H279" s="37"/>
      <c r="I279" s="37"/>
    </row>
    <row r="280" spans="5:9">
      <c r="E280" s="37"/>
      <c r="F280" s="37"/>
      <c r="G280" s="37"/>
      <c r="H280" s="37"/>
      <c r="I280" s="37"/>
    </row>
    <row r="281" spans="5:9">
      <c r="E281" s="37"/>
      <c r="F281" s="37"/>
      <c r="G281" s="40"/>
      <c r="H281" s="37"/>
      <c r="I281" s="37"/>
    </row>
    <row r="282" spans="5:9">
      <c r="E282" s="37"/>
      <c r="F282" s="37"/>
      <c r="G282" s="37"/>
      <c r="H282" s="37"/>
      <c r="I282" s="37"/>
    </row>
    <row r="283" spans="5:9">
      <c r="E283" s="40"/>
      <c r="F283" s="37"/>
      <c r="G283" s="37"/>
      <c r="H283" s="37"/>
      <c r="I283" s="37"/>
    </row>
    <row r="284" spans="5:9">
      <c r="E284" s="37"/>
      <c r="F284" s="37"/>
      <c r="G284" s="37"/>
      <c r="H284" s="37"/>
      <c r="I284" s="37"/>
    </row>
    <row r="285" spans="5:9">
      <c r="E285" s="37"/>
      <c r="F285" s="37"/>
      <c r="G285" s="37"/>
      <c r="H285" s="37"/>
      <c r="I285" s="37"/>
    </row>
    <row r="286" spans="5:9">
      <c r="E286" s="37"/>
      <c r="F286" s="37"/>
      <c r="G286" s="37"/>
      <c r="H286" s="37"/>
      <c r="I286" s="37"/>
    </row>
    <row r="287" spans="5:9">
      <c r="E287" s="37"/>
      <c r="F287" s="37"/>
      <c r="G287" s="37"/>
      <c r="H287" s="37"/>
      <c r="I287" s="37"/>
    </row>
    <row r="288" spans="5:9">
      <c r="E288" s="37"/>
      <c r="F288" s="37"/>
      <c r="G288" s="37"/>
      <c r="H288" s="37"/>
      <c r="I288" s="37"/>
    </row>
    <row r="289" spans="5:9">
      <c r="E289" s="37"/>
      <c r="F289" s="37"/>
      <c r="G289" s="37"/>
      <c r="H289" s="37"/>
      <c r="I289" s="37"/>
    </row>
    <row r="290" spans="5:9">
      <c r="E290" s="37"/>
      <c r="F290" s="37"/>
      <c r="G290" s="37"/>
      <c r="H290" s="37"/>
      <c r="I290" s="37"/>
    </row>
    <row r="291" spans="5:9">
      <c r="E291" s="37"/>
      <c r="F291" s="37"/>
      <c r="G291" s="37"/>
      <c r="H291" s="37"/>
      <c r="I291" s="37"/>
    </row>
    <row r="292" spans="5:9">
      <c r="E292" s="37"/>
      <c r="F292" s="37"/>
      <c r="G292" s="37"/>
      <c r="H292" s="37"/>
      <c r="I292" s="37"/>
    </row>
    <row r="293" spans="5:9">
      <c r="E293" s="37"/>
      <c r="F293" s="37"/>
      <c r="G293" s="37"/>
      <c r="H293" s="37"/>
      <c r="I293" s="37"/>
    </row>
    <row r="294" spans="5:9">
      <c r="E294" s="37"/>
      <c r="F294" s="37"/>
      <c r="G294" s="37"/>
      <c r="H294" s="37"/>
      <c r="I294" s="37"/>
    </row>
    <row r="295" spans="5:9">
      <c r="E295" s="37"/>
      <c r="F295" s="37"/>
      <c r="G295" s="37"/>
      <c r="H295" s="37"/>
      <c r="I295" s="37"/>
    </row>
    <row r="296" spans="5:9">
      <c r="E296" s="37"/>
      <c r="F296" s="37"/>
      <c r="G296" s="37"/>
      <c r="H296" s="37"/>
      <c r="I296" s="37"/>
    </row>
    <row r="297" spans="5:9">
      <c r="E297" s="40"/>
      <c r="F297" s="37"/>
      <c r="G297" s="40"/>
      <c r="H297" s="37"/>
      <c r="I297" s="37"/>
    </row>
    <row r="298" spans="5:9">
      <c r="E298" s="37"/>
      <c r="F298" s="37"/>
      <c r="G298" s="37"/>
      <c r="H298" s="37"/>
      <c r="I298" s="37"/>
    </row>
    <row r="299" spans="5:9">
      <c r="E299" s="37"/>
      <c r="F299" s="37"/>
      <c r="G299" s="40"/>
      <c r="H299" s="37"/>
      <c r="I299" s="37"/>
    </row>
    <row r="300" spans="5:9">
      <c r="E300" s="37"/>
      <c r="F300" s="37"/>
      <c r="G300" s="40"/>
      <c r="H300" s="37"/>
      <c r="I300" s="37"/>
    </row>
    <row r="301" spans="5:9">
      <c r="E301" s="37"/>
      <c r="F301" s="37"/>
      <c r="G301" s="40"/>
      <c r="H301" s="37"/>
      <c r="I301" s="37"/>
    </row>
    <row r="302" spans="5:9">
      <c r="E302" s="37"/>
      <c r="F302" s="37"/>
      <c r="G302" s="37"/>
      <c r="H302" s="37"/>
      <c r="I302" s="37"/>
    </row>
    <row r="303" spans="5:9">
      <c r="E303" s="40"/>
      <c r="F303" s="37"/>
      <c r="G303" s="37"/>
      <c r="H303" s="37"/>
      <c r="I303" s="37"/>
    </row>
    <row r="304" spans="5:9">
      <c r="E304" s="40"/>
      <c r="F304" s="37"/>
      <c r="G304" s="37"/>
      <c r="H304" s="37"/>
      <c r="I304" s="37"/>
    </row>
    <row r="305" spans="5:9">
      <c r="E305" s="37"/>
      <c r="F305" s="37"/>
      <c r="G305" s="37"/>
      <c r="H305" s="37"/>
      <c r="I305" s="37"/>
    </row>
    <row r="306" spans="5:9">
      <c r="E306" s="37"/>
      <c r="F306" s="37"/>
      <c r="G306" s="37"/>
      <c r="H306" s="37"/>
      <c r="I306" s="37"/>
    </row>
    <row r="307" spans="5:9">
      <c r="E307" s="37"/>
      <c r="F307" s="37"/>
      <c r="G307" s="37"/>
      <c r="H307" s="37"/>
      <c r="I307" s="37"/>
    </row>
    <row r="308" spans="5:9">
      <c r="E308" s="37"/>
      <c r="F308" s="37"/>
      <c r="G308" s="40"/>
      <c r="H308" s="37"/>
      <c r="I308" s="37"/>
    </row>
    <row r="309" spans="5:9">
      <c r="E309" s="37"/>
      <c r="F309" s="37"/>
      <c r="G309" s="37"/>
      <c r="H309" s="37"/>
      <c r="I309" s="37"/>
    </row>
    <row r="310" spans="5:9">
      <c r="E310" s="37"/>
      <c r="F310" s="37"/>
      <c r="G310" s="37"/>
      <c r="H310" s="37"/>
      <c r="I310" s="37"/>
    </row>
    <row r="311" spans="5:9">
      <c r="E311" s="37"/>
      <c r="F311" s="37"/>
      <c r="G311" s="37"/>
      <c r="H311" s="37"/>
      <c r="I311" s="37"/>
    </row>
    <row r="312" spans="5:9">
      <c r="E312" s="37"/>
      <c r="F312" s="37"/>
      <c r="G312" s="37"/>
      <c r="H312" s="37"/>
      <c r="I312" s="37"/>
    </row>
    <row r="313" spans="5:9">
      <c r="E313" s="37"/>
      <c r="F313" s="37"/>
      <c r="G313" s="40"/>
      <c r="H313" s="37"/>
      <c r="I313" s="37"/>
    </row>
    <row r="314" spans="5:9">
      <c r="E314" s="37"/>
      <c r="F314" s="37"/>
      <c r="G314" s="37"/>
      <c r="H314" s="37"/>
      <c r="I314" s="37"/>
    </row>
    <row r="315" spans="5:9">
      <c r="E315" s="37"/>
      <c r="F315" s="37"/>
      <c r="G315" s="40"/>
      <c r="H315" s="37"/>
      <c r="I315" s="37"/>
    </row>
    <row r="316" spans="5:9">
      <c r="E316" s="37"/>
      <c r="F316" s="37"/>
      <c r="G316" s="37"/>
      <c r="H316" s="37"/>
      <c r="I316" s="37"/>
    </row>
    <row r="317" spans="5:9">
      <c r="E317" s="37"/>
      <c r="F317" s="37"/>
      <c r="G317" s="37"/>
      <c r="H317" s="37"/>
      <c r="I317" s="37"/>
    </row>
    <row r="318" spans="5:9">
      <c r="E318" s="37"/>
      <c r="F318" s="37"/>
      <c r="G318" s="37"/>
      <c r="H318" s="37"/>
      <c r="I318" s="37"/>
    </row>
    <row r="319" spans="5:9">
      <c r="E319" s="37"/>
      <c r="F319" s="37"/>
      <c r="G319" s="37"/>
      <c r="H319" s="37"/>
      <c r="I319" s="37"/>
    </row>
    <row r="320" spans="5:9">
      <c r="E320" s="37"/>
      <c r="F320" s="37"/>
      <c r="G320" s="37"/>
      <c r="H320" s="37"/>
      <c r="I320" s="37"/>
    </row>
    <row r="321" spans="5:9">
      <c r="E321" s="37"/>
      <c r="F321" s="37"/>
      <c r="G321" s="37"/>
      <c r="H321" s="37"/>
      <c r="I321" s="37"/>
    </row>
    <row r="322" spans="5:9">
      <c r="E322" s="37"/>
      <c r="F322" s="37"/>
      <c r="G322" s="40"/>
      <c r="H322" s="37"/>
      <c r="I322" s="40"/>
    </row>
    <row r="323" spans="5:9">
      <c r="E323" s="37"/>
      <c r="F323" s="37"/>
      <c r="G323" s="37"/>
      <c r="H323" s="37"/>
      <c r="I323" s="37"/>
    </row>
    <row r="324" spans="5:9">
      <c r="E324" s="37"/>
      <c r="F324" s="37"/>
      <c r="G324" s="37"/>
      <c r="H324" s="37"/>
      <c r="I324" s="37"/>
    </row>
    <row r="325" spans="5:9">
      <c r="E325" s="37"/>
      <c r="F325" s="37"/>
      <c r="G325" s="37"/>
      <c r="H325" s="37"/>
      <c r="I325" s="37"/>
    </row>
    <row r="326" spans="5:9">
      <c r="E326" s="40"/>
      <c r="F326" s="37"/>
      <c r="G326" s="40"/>
      <c r="H326" s="37"/>
      <c r="I326" s="40"/>
    </row>
    <row r="327" spans="5:9">
      <c r="E327" s="37"/>
      <c r="F327" s="37"/>
      <c r="G327" s="40"/>
      <c r="H327" s="37"/>
      <c r="I327" s="37"/>
    </row>
    <row r="328" spans="5:9">
      <c r="E328" s="37"/>
      <c r="F328" s="37"/>
      <c r="G328" s="40"/>
      <c r="H328" s="37"/>
      <c r="I328" s="37"/>
    </row>
    <row r="329" spans="5:9">
      <c r="E329" s="37"/>
      <c r="F329" s="37"/>
      <c r="G329" s="37"/>
      <c r="H329" s="37"/>
      <c r="I329" s="37"/>
    </row>
    <row r="330" spans="5:9">
      <c r="E330" s="37"/>
      <c r="F330" s="37"/>
      <c r="G330" s="40"/>
      <c r="H330" s="37"/>
      <c r="I330" s="37"/>
    </row>
    <row r="331" spans="5:9">
      <c r="E331" s="37"/>
      <c r="F331" s="37"/>
      <c r="G331" s="37"/>
      <c r="H331" s="37"/>
      <c r="I331" s="37"/>
    </row>
    <row r="332" spans="5:9">
      <c r="E332" s="37"/>
      <c r="F332" s="37"/>
      <c r="G332" s="40"/>
      <c r="H332" s="37"/>
      <c r="I332" s="37"/>
    </row>
    <row r="333" spans="5:9">
      <c r="E333" s="37"/>
      <c r="F333" s="37"/>
      <c r="G333" s="40"/>
      <c r="H333" s="37"/>
      <c r="I333" s="37"/>
    </row>
    <row r="334" spans="5:9">
      <c r="E334" s="37"/>
      <c r="F334" s="37"/>
      <c r="G334" s="40"/>
      <c r="H334" s="37"/>
      <c r="I334" s="37"/>
    </row>
    <row r="335" spans="5:9">
      <c r="E335" s="37"/>
      <c r="F335" s="37"/>
      <c r="G335" s="37"/>
      <c r="H335" s="37"/>
      <c r="I335" s="37"/>
    </row>
    <row r="336" spans="5:9">
      <c r="E336" s="37"/>
      <c r="F336" s="37"/>
      <c r="G336" s="37"/>
      <c r="H336" s="37"/>
      <c r="I336" s="37"/>
    </row>
    <row r="337" spans="5:9">
      <c r="E337" s="37"/>
      <c r="F337" s="37"/>
      <c r="G337" s="37"/>
      <c r="H337" s="37"/>
      <c r="I337" s="37"/>
    </row>
    <row r="338" spans="5:9">
      <c r="E338" s="37"/>
      <c r="F338" s="37"/>
      <c r="G338" s="37"/>
      <c r="H338" s="37"/>
      <c r="I338" s="37"/>
    </row>
    <row r="339" spans="5:9">
      <c r="E339" s="37"/>
      <c r="F339" s="37"/>
      <c r="G339" s="40"/>
      <c r="H339" s="37"/>
      <c r="I339" s="37"/>
    </row>
    <row r="340" spans="5:9">
      <c r="E340" s="37"/>
      <c r="F340" s="37"/>
      <c r="G340" s="37"/>
      <c r="H340" s="37"/>
      <c r="I340" s="37"/>
    </row>
    <row r="341" spans="5:9">
      <c r="E341" s="37"/>
      <c r="F341" s="37"/>
      <c r="G341" s="40"/>
      <c r="H341" s="37"/>
      <c r="I341" s="37"/>
    </row>
    <row r="342" spans="5:9">
      <c r="E342" s="37"/>
      <c r="F342" s="37"/>
      <c r="G342" s="37"/>
      <c r="H342" s="37"/>
      <c r="I342" s="37"/>
    </row>
    <row r="343" spans="5:9">
      <c r="E343" s="37"/>
      <c r="F343" s="37"/>
      <c r="G343" s="40"/>
      <c r="H343" s="37"/>
      <c r="I343" s="37"/>
    </row>
    <row r="344" spans="5:9">
      <c r="E344" s="37"/>
      <c r="F344" s="37"/>
      <c r="G344" s="40"/>
      <c r="H344" s="37"/>
      <c r="I344" s="37"/>
    </row>
    <row r="345" spans="5:9">
      <c r="E345" s="37"/>
      <c r="F345" s="37"/>
      <c r="G345" s="40"/>
      <c r="H345" s="37"/>
      <c r="I345" s="37"/>
    </row>
    <row r="346" spans="5:9">
      <c r="E346" s="37"/>
      <c r="F346" s="37"/>
      <c r="G346" s="40"/>
      <c r="H346" s="37"/>
      <c r="I346" s="40"/>
    </row>
    <row r="347" spans="5:9">
      <c r="E347" s="37"/>
      <c r="F347" s="37"/>
      <c r="G347" s="37"/>
      <c r="H347" s="37"/>
      <c r="I347" s="37"/>
    </row>
    <row r="348" spans="5:9">
      <c r="E348" s="37"/>
      <c r="F348" s="37"/>
      <c r="G348" s="40"/>
      <c r="H348" s="37"/>
      <c r="I348" s="37"/>
    </row>
    <row r="349" spans="5:9">
      <c r="E349" s="37"/>
      <c r="F349" s="37"/>
      <c r="G349" s="37"/>
      <c r="H349" s="37"/>
      <c r="I349" s="37"/>
    </row>
    <row r="350" spans="5:9">
      <c r="E350" s="37"/>
      <c r="F350" s="37"/>
      <c r="G350" s="40"/>
      <c r="H350" s="37"/>
      <c r="I350" s="40"/>
    </row>
    <row r="351" spans="5:9">
      <c r="E351" s="40"/>
      <c r="F351" s="37"/>
      <c r="G351" s="37"/>
      <c r="H351" s="37"/>
      <c r="I351" s="37"/>
    </row>
    <row r="352" spans="5:9">
      <c r="E352" s="37"/>
      <c r="F352" s="37"/>
      <c r="G352" s="37"/>
      <c r="H352" s="37"/>
      <c r="I352" s="37"/>
    </row>
    <row r="353" spans="5:9">
      <c r="E353" s="37"/>
      <c r="F353" s="37"/>
      <c r="G353" s="37"/>
      <c r="H353" s="37"/>
      <c r="I353" s="37"/>
    </row>
    <row r="354" spans="5:9">
      <c r="E354" s="40"/>
      <c r="F354" s="37"/>
      <c r="G354" s="40"/>
      <c r="H354" s="37"/>
      <c r="I354" s="37"/>
    </row>
    <row r="355" spans="5:9">
      <c r="E355" s="37"/>
      <c r="F355" s="37"/>
      <c r="G355" s="37"/>
      <c r="H355" s="37"/>
      <c r="I355" s="37"/>
    </row>
    <row r="356" spans="5:9">
      <c r="E356" s="37"/>
      <c r="F356" s="37"/>
      <c r="G356" s="37"/>
      <c r="H356" s="37"/>
      <c r="I356" s="37"/>
    </row>
    <row r="357" spans="5:9">
      <c r="E357" s="37"/>
      <c r="F357" s="37"/>
      <c r="G357" s="40"/>
      <c r="H357" s="37"/>
      <c r="I357" s="37"/>
    </row>
    <row r="358" spans="5:9">
      <c r="E358" s="37"/>
      <c r="F358" s="37"/>
      <c r="G358" s="37"/>
      <c r="H358" s="37"/>
      <c r="I358" s="37"/>
    </row>
    <row r="359" spans="5:9">
      <c r="E359" s="37"/>
      <c r="F359" s="37"/>
      <c r="G359" s="40"/>
      <c r="H359" s="37"/>
      <c r="I359" s="37"/>
    </row>
    <row r="360" spans="5:9">
      <c r="E360" s="40"/>
      <c r="F360" s="37"/>
      <c r="G360" s="37"/>
      <c r="H360" s="37"/>
      <c r="I360" s="37"/>
    </row>
    <row r="361" spans="5:9">
      <c r="E361" s="40"/>
      <c r="F361" s="37"/>
      <c r="G361" s="37"/>
      <c r="H361" s="37"/>
      <c r="I361" s="37"/>
    </row>
    <row r="362" spans="5:9">
      <c r="E362" s="37"/>
      <c r="F362" s="37"/>
      <c r="G362" s="40"/>
      <c r="H362" s="37"/>
      <c r="I362" s="37"/>
    </row>
    <row r="363" spans="5:9">
      <c r="E363" s="37"/>
      <c r="F363" s="37"/>
      <c r="G363" s="37"/>
      <c r="H363" s="37"/>
      <c r="I363" s="37"/>
    </row>
    <row r="364" spans="5:9">
      <c r="E364" s="37"/>
      <c r="F364" s="37"/>
      <c r="G364" s="37"/>
      <c r="H364" s="37"/>
      <c r="I364" s="37"/>
    </row>
    <row r="365" spans="5:9">
      <c r="E365" s="37"/>
      <c r="F365" s="37"/>
      <c r="G365" s="37"/>
      <c r="H365" s="37"/>
      <c r="I365" s="37"/>
    </row>
    <row r="366" spans="5:9">
      <c r="E366" s="37"/>
      <c r="F366" s="37"/>
      <c r="G366" s="37"/>
      <c r="H366" s="37"/>
      <c r="I366" s="37"/>
    </row>
    <row r="367" spans="5:9">
      <c r="E367" s="37"/>
      <c r="F367" s="37"/>
      <c r="G367" s="40"/>
      <c r="H367" s="37"/>
      <c r="I367" s="37"/>
    </row>
    <row r="368" spans="5:9">
      <c r="E368" s="37"/>
      <c r="F368" s="37"/>
      <c r="G368" s="37"/>
      <c r="H368" s="37"/>
      <c r="I368" s="37"/>
    </row>
    <row r="369" spans="5:9">
      <c r="E369" s="37"/>
      <c r="F369" s="37"/>
      <c r="G369" s="40"/>
      <c r="H369" s="37"/>
      <c r="I369" s="37"/>
    </row>
    <row r="370" spans="5:9">
      <c r="E370" s="37"/>
      <c r="F370" s="37"/>
      <c r="G370" s="37"/>
      <c r="H370" s="37"/>
      <c r="I370" s="37"/>
    </row>
    <row r="371" spans="5:9">
      <c r="E371" s="37"/>
      <c r="F371" s="37"/>
      <c r="G371" s="40"/>
      <c r="H371" s="37"/>
      <c r="I371" s="37"/>
    </row>
    <row r="372" spans="5:9">
      <c r="E372" s="37"/>
      <c r="F372" s="37"/>
      <c r="G372" s="37"/>
      <c r="H372" s="37"/>
      <c r="I372" s="37"/>
    </row>
    <row r="373" spans="5:9">
      <c r="E373" s="37"/>
      <c r="F373" s="37"/>
      <c r="G373" s="37"/>
      <c r="H373" s="37"/>
      <c r="I373" s="37"/>
    </row>
    <row r="374" spans="5:9">
      <c r="E374" s="37"/>
      <c r="F374" s="37"/>
      <c r="G374" s="37"/>
      <c r="H374" s="37"/>
      <c r="I374" s="37"/>
    </row>
    <row r="375" spans="5:9">
      <c r="E375" s="37"/>
      <c r="F375" s="37"/>
      <c r="G375" s="37"/>
      <c r="H375" s="37"/>
      <c r="I375" s="37"/>
    </row>
    <row r="376" spans="5:9">
      <c r="E376" s="37"/>
      <c r="F376" s="37"/>
      <c r="G376" s="40"/>
      <c r="H376" s="37"/>
      <c r="I376" s="40"/>
    </row>
    <row r="377" spans="5:9">
      <c r="E377" s="37"/>
      <c r="F377" s="37"/>
      <c r="G377" s="37"/>
      <c r="H377" s="37"/>
      <c r="I377" s="37"/>
    </row>
    <row r="378" spans="5:9">
      <c r="E378" s="37"/>
      <c r="F378" s="37"/>
      <c r="G378" s="37"/>
      <c r="H378" s="37"/>
      <c r="I378" s="37"/>
    </row>
    <row r="379" spans="5:9">
      <c r="E379" s="37"/>
      <c r="F379" s="37"/>
      <c r="G379" s="37"/>
      <c r="H379" s="37"/>
      <c r="I379" s="37"/>
    </row>
    <row r="380" spans="5:9">
      <c r="E380" s="37"/>
      <c r="F380" s="37"/>
      <c r="G380" s="40"/>
      <c r="H380" s="37"/>
      <c r="I380" s="37"/>
    </row>
    <row r="381" spans="5:9">
      <c r="E381" s="40"/>
      <c r="F381" s="37"/>
      <c r="G381" s="40"/>
      <c r="H381" s="37"/>
      <c r="I381" s="37"/>
    </row>
    <row r="382" spans="5:9">
      <c r="E382" s="37"/>
      <c r="F382" s="37"/>
      <c r="G382" s="37"/>
      <c r="H382" s="37"/>
      <c r="I382" s="37"/>
    </row>
    <row r="383" spans="5:9">
      <c r="E383" s="37"/>
      <c r="F383" s="37"/>
      <c r="G383" s="40"/>
      <c r="H383" s="37"/>
      <c r="I383" s="37"/>
    </row>
    <row r="384" spans="5:9">
      <c r="E384" s="37"/>
      <c r="F384" s="37"/>
      <c r="G384" s="37"/>
      <c r="H384" s="37"/>
      <c r="I384" s="37"/>
    </row>
    <row r="385" spans="5:9">
      <c r="E385" s="37"/>
      <c r="F385" s="37"/>
      <c r="G385" s="40"/>
      <c r="H385" s="37"/>
      <c r="I385" s="37"/>
    </row>
    <row r="386" spans="5:9">
      <c r="E386" s="37"/>
      <c r="F386" s="37"/>
      <c r="G386" s="40"/>
      <c r="H386" s="37"/>
      <c r="I386" s="37"/>
    </row>
    <row r="387" spans="5:9">
      <c r="E387" s="37"/>
      <c r="F387" s="37"/>
      <c r="G387" s="40"/>
      <c r="H387" s="37"/>
      <c r="I387" s="37"/>
    </row>
    <row r="388" spans="5:9">
      <c r="E388" s="37"/>
      <c r="F388" s="37"/>
      <c r="G388" s="40"/>
      <c r="H388" s="37"/>
      <c r="I388" s="37"/>
    </row>
    <row r="389" spans="5:9">
      <c r="E389" s="37"/>
      <c r="F389" s="37"/>
      <c r="G389" s="40"/>
      <c r="H389" s="37"/>
      <c r="I389" s="37"/>
    </row>
    <row r="390" spans="5:9">
      <c r="E390" s="37"/>
      <c r="F390" s="37"/>
      <c r="G390" s="37"/>
      <c r="H390" s="37"/>
      <c r="I390" s="37"/>
    </row>
    <row r="391" spans="5:9">
      <c r="E391" s="37"/>
      <c r="F391" s="37"/>
      <c r="G391" s="40"/>
      <c r="H391" s="37"/>
      <c r="I391" s="37"/>
    </row>
    <row r="392" spans="5:9">
      <c r="E392" s="37"/>
      <c r="F392" s="37"/>
      <c r="G392" s="40"/>
      <c r="H392" s="37"/>
      <c r="I392" s="40"/>
    </row>
    <row r="393" spans="5:9">
      <c r="E393" s="37"/>
      <c r="F393" s="37"/>
      <c r="G393" s="37"/>
      <c r="H393" s="37"/>
      <c r="I393" s="37"/>
    </row>
    <row r="394" spans="5:9">
      <c r="E394" s="37"/>
      <c r="F394" s="37"/>
      <c r="G394" s="40"/>
      <c r="H394" s="37"/>
      <c r="I394" s="37"/>
    </row>
    <row r="395" spans="5:9">
      <c r="E395" s="37"/>
      <c r="F395" s="37"/>
      <c r="G395" s="40"/>
      <c r="H395" s="37"/>
      <c r="I395" s="37"/>
    </row>
    <row r="396" spans="5:9">
      <c r="E396" s="37"/>
      <c r="F396" s="37"/>
      <c r="G396" s="40"/>
      <c r="H396" s="37"/>
      <c r="I396" s="37"/>
    </row>
    <row r="397" spans="5:9">
      <c r="E397" s="37"/>
      <c r="F397" s="37"/>
      <c r="G397" s="37"/>
      <c r="H397" s="37"/>
      <c r="I397" s="37"/>
    </row>
    <row r="398" spans="5:9">
      <c r="E398" s="37"/>
      <c r="F398" s="37"/>
      <c r="G398" s="40"/>
      <c r="H398" s="37"/>
      <c r="I398" s="37"/>
    </row>
    <row r="399" spans="5:9">
      <c r="E399" s="37"/>
      <c r="F399" s="37"/>
      <c r="G399" s="40"/>
      <c r="H399" s="37"/>
      <c r="I399" s="40"/>
    </row>
    <row r="400" spans="5:9">
      <c r="E400" s="37"/>
      <c r="F400" s="37"/>
      <c r="G400" s="40"/>
      <c r="H400" s="37"/>
      <c r="I400" s="40"/>
    </row>
    <row r="401" spans="5:9">
      <c r="E401" s="37"/>
      <c r="F401" s="37"/>
      <c r="G401" s="37"/>
      <c r="H401" s="37"/>
      <c r="I401" s="37"/>
    </row>
    <row r="402" spans="5:9">
      <c r="E402" s="37"/>
      <c r="F402" s="37"/>
      <c r="G402" s="40"/>
      <c r="H402" s="37"/>
      <c r="I402" s="37"/>
    </row>
    <row r="403" spans="5:9">
      <c r="E403" s="37"/>
      <c r="F403" s="37"/>
      <c r="G403" s="40"/>
      <c r="H403" s="37"/>
      <c r="I403" s="40"/>
    </row>
    <row r="404" spans="5:9">
      <c r="E404" s="40"/>
      <c r="F404" s="37"/>
      <c r="G404" s="37"/>
      <c r="H404" s="37"/>
      <c r="I404" s="37"/>
    </row>
    <row r="405" spans="5:9">
      <c r="E405" s="37"/>
      <c r="F405" s="37"/>
      <c r="G405" s="37"/>
      <c r="H405" s="37"/>
      <c r="I405" s="37"/>
    </row>
    <row r="406" spans="5:9">
      <c r="E406" s="37"/>
      <c r="F406" s="37"/>
      <c r="G406" s="37"/>
      <c r="H406" s="37"/>
      <c r="I406" s="37"/>
    </row>
    <row r="407" spans="5:9">
      <c r="E407" s="40"/>
      <c r="F407" s="37"/>
      <c r="G407" s="40"/>
      <c r="H407" s="37"/>
      <c r="I407" s="40"/>
    </row>
    <row r="408" spans="5:9">
      <c r="E408" s="37"/>
      <c r="F408" s="37"/>
      <c r="G408" s="37"/>
      <c r="H408" s="37"/>
      <c r="I408" s="37"/>
    </row>
    <row r="409" spans="5:9">
      <c r="E409" s="37"/>
      <c r="F409" s="37"/>
      <c r="G409" s="40"/>
      <c r="H409" s="37"/>
      <c r="I409" s="37"/>
    </row>
    <row r="410" spans="5:9">
      <c r="E410" s="37"/>
      <c r="F410" s="37"/>
      <c r="G410" s="37"/>
      <c r="H410" s="37"/>
      <c r="I410" s="37"/>
    </row>
    <row r="411" spans="5:9">
      <c r="E411" s="37"/>
      <c r="F411" s="37"/>
      <c r="G411" s="37"/>
      <c r="H411" s="37"/>
      <c r="I411" s="37"/>
    </row>
    <row r="412" spans="5:9">
      <c r="E412" s="37"/>
      <c r="F412" s="37"/>
      <c r="G412" s="37"/>
      <c r="H412" s="37"/>
      <c r="I412" s="37"/>
    </row>
    <row r="413" spans="5:9">
      <c r="E413" s="37"/>
      <c r="F413" s="37"/>
      <c r="G413" s="37"/>
      <c r="H413" s="37"/>
      <c r="I413" s="37"/>
    </row>
    <row r="414" spans="5:9">
      <c r="E414" s="40"/>
      <c r="F414" s="37"/>
      <c r="G414" s="37"/>
      <c r="H414" s="37"/>
      <c r="I414" s="37"/>
    </row>
    <row r="415" spans="5:9">
      <c r="E415" s="37"/>
      <c r="F415" s="37"/>
      <c r="G415" s="40"/>
      <c r="H415" s="37"/>
      <c r="I415" s="37"/>
    </row>
    <row r="416" spans="5:9">
      <c r="E416" s="37"/>
      <c r="F416" s="37"/>
      <c r="G416" s="37"/>
      <c r="H416" s="37"/>
      <c r="I416" s="37"/>
    </row>
    <row r="417" spans="5:9">
      <c r="E417" s="37"/>
      <c r="F417" s="37"/>
      <c r="G417" s="37"/>
      <c r="H417" s="37"/>
      <c r="I417" s="37"/>
    </row>
    <row r="418" spans="5:9">
      <c r="E418" s="37"/>
      <c r="F418" s="37"/>
      <c r="G418" s="40"/>
      <c r="H418" s="37"/>
      <c r="I418" s="37"/>
    </row>
    <row r="419" spans="5:9">
      <c r="E419" s="37"/>
      <c r="F419" s="37"/>
      <c r="G419" s="37"/>
      <c r="H419" s="37"/>
      <c r="I419" s="37"/>
    </row>
    <row r="420" spans="5:9">
      <c r="E420" s="37"/>
      <c r="F420" s="37"/>
      <c r="G420" s="37"/>
      <c r="H420" s="37"/>
      <c r="I420" s="37"/>
    </row>
    <row r="421" spans="5:9">
      <c r="E421" s="37"/>
      <c r="F421" s="37"/>
      <c r="G421" s="40"/>
      <c r="H421" s="37"/>
      <c r="I421" s="37"/>
    </row>
    <row r="422" spans="5:9">
      <c r="E422" s="37"/>
      <c r="F422" s="37"/>
      <c r="G422" s="40"/>
      <c r="H422" s="37"/>
      <c r="I422" s="37"/>
    </row>
    <row r="423" spans="5:9">
      <c r="E423" s="37"/>
      <c r="F423" s="37"/>
      <c r="G423" s="37"/>
      <c r="H423" s="37"/>
      <c r="I423" s="37"/>
    </row>
    <row r="424" spans="5:9">
      <c r="E424" s="37"/>
      <c r="F424" s="37"/>
      <c r="G424" s="37"/>
      <c r="H424" s="37"/>
      <c r="I424" s="37"/>
    </row>
    <row r="425" spans="5:9">
      <c r="E425" s="37"/>
      <c r="F425" s="37"/>
      <c r="G425" s="40"/>
      <c r="H425" s="37"/>
      <c r="I425" s="37"/>
    </row>
    <row r="426" spans="5:9">
      <c r="E426" s="37"/>
      <c r="F426" s="37"/>
      <c r="G426" s="37"/>
      <c r="H426" s="37"/>
      <c r="I426" s="37"/>
    </row>
    <row r="427" spans="5:9">
      <c r="E427" s="37"/>
      <c r="F427" s="37"/>
      <c r="G427" s="37"/>
      <c r="H427" s="37"/>
      <c r="I427" s="37"/>
    </row>
    <row r="428" spans="5:9">
      <c r="E428" s="37"/>
      <c r="F428" s="37"/>
      <c r="G428" s="37"/>
      <c r="H428" s="37"/>
      <c r="I428" s="37"/>
    </row>
    <row r="429" spans="5:9">
      <c r="E429" s="37"/>
      <c r="F429" s="37"/>
      <c r="G429" s="40"/>
      <c r="H429" s="37"/>
      <c r="I429" s="37"/>
    </row>
    <row r="430" spans="5:9">
      <c r="E430" s="37"/>
      <c r="F430" s="37"/>
      <c r="G430" s="37"/>
      <c r="H430" s="37"/>
      <c r="I430" s="37"/>
    </row>
    <row r="431" spans="5:9">
      <c r="E431" s="37"/>
      <c r="F431" s="37"/>
      <c r="G431" s="37"/>
      <c r="H431" s="37"/>
      <c r="I431" s="37"/>
    </row>
    <row r="432" spans="5:9">
      <c r="E432" s="37"/>
      <c r="F432" s="37"/>
      <c r="G432" s="37"/>
      <c r="H432" s="37"/>
      <c r="I432" s="37"/>
    </row>
    <row r="433" spans="5:9">
      <c r="E433" s="40"/>
      <c r="F433" s="37"/>
      <c r="G433" s="40"/>
      <c r="H433" s="37"/>
      <c r="I433" s="40"/>
    </row>
    <row r="434" spans="5:9">
      <c r="E434" s="37"/>
      <c r="F434" s="37"/>
      <c r="G434" s="37"/>
      <c r="H434" s="37"/>
      <c r="I434" s="37"/>
    </row>
    <row r="435" spans="5:9">
      <c r="E435" s="37"/>
      <c r="F435" s="37"/>
      <c r="G435" s="40"/>
      <c r="H435" s="37"/>
      <c r="I435" s="37"/>
    </row>
    <row r="436" spans="5:9">
      <c r="E436" s="37"/>
      <c r="F436" s="37"/>
      <c r="G436" s="37"/>
      <c r="H436" s="37"/>
      <c r="I436" s="37"/>
    </row>
    <row r="437" spans="5:9">
      <c r="E437" s="37"/>
      <c r="F437" s="37"/>
      <c r="G437" s="40"/>
      <c r="H437" s="37"/>
      <c r="I437" s="37"/>
    </row>
    <row r="438" spans="5:9">
      <c r="E438" s="37"/>
      <c r="F438" s="37"/>
      <c r="G438" s="40"/>
      <c r="H438" s="37"/>
      <c r="I438" s="37"/>
    </row>
    <row r="439" spans="5:9">
      <c r="E439" s="37"/>
      <c r="F439" s="37"/>
      <c r="G439" s="40"/>
      <c r="H439" s="37"/>
      <c r="I439" s="37"/>
    </row>
    <row r="440" spans="5:9">
      <c r="E440" s="37"/>
      <c r="F440" s="37"/>
      <c r="G440" s="40"/>
      <c r="H440" s="37"/>
      <c r="I440" s="37"/>
    </row>
    <row r="441" spans="5:9">
      <c r="E441" s="37"/>
      <c r="F441" s="37"/>
      <c r="G441" s="37"/>
      <c r="H441" s="37"/>
      <c r="I441" s="40"/>
    </row>
    <row r="442" spans="5:9">
      <c r="E442" s="37"/>
      <c r="F442" s="37"/>
      <c r="G442" s="37"/>
      <c r="H442" s="37"/>
      <c r="I442" s="37"/>
    </row>
    <row r="443" spans="5:9">
      <c r="E443" s="37"/>
      <c r="F443" s="37"/>
      <c r="G443" s="37"/>
      <c r="H443" s="37"/>
      <c r="I443" s="37"/>
    </row>
    <row r="444" spans="5:9">
      <c r="E444" s="37"/>
      <c r="F444" s="37"/>
      <c r="G444" s="40"/>
      <c r="H444" s="37"/>
      <c r="I444" s="37"/>
    </row>
    <row r="445" spans="5:9">
      <c r="E445" s="37"/>
      <c r="F445" s="37"/>
      <c r="G445" s="37"/>
      <c r="H445" s="37"/>
      <c r="I445" s="37"/>
    </row>
    <row r="446" spans="5:9">
      <c r="E446" s="37"/>
      <c r="F446" s="37"/>
      <c r="G446" s="40"/>
      <c r="H446" s="37"/>
      <c r="I446" s="37"/>
    </row>
    <row r="447" spans="5:9">
      <c r="E447" s="37"/>
      <c r="F447" s="37"/>
      <c r="G447" s="40"/>
      <c r="H447" s="37"/>
      <c r="I447" s="37"/>
    </row>
    <row r="448" spans="5:9">
      <c r="E448" s="37"/>
      <c r="F448" s="37"/>
      <c r="G448" s="37"/>
      <c r="H448" s="37"/>
      <c r="I448" s="37"/>
    </row>
    <row r="449" spans="5:9">
      <c r="E449" s="37"/>
      <c r="F449" s="37"/>
      <c r="G449" s="40"/>
      <c r="H449" s="37"/>
      <c r="I449" s="37"/>
    </row>
    <row r="450" spans="5:9">
      <c r="E450" s="37"/>
      <c r="F450" s="37"/>
      <c r="G450" s="37"/>
      <c r="H450" s="37"/>
      <c r="I450" s="37"/>
    </row>
    <row r="451" spans="5:9">
      <c r="E451" s="37"/>
      <c r="F451" s="37"/>
      <c r="G451" s="40"/>
      <c r="H451" s="37"/>
      <c r="I451" s="40"/>
    </row>
    <row r="452" spans="5:9">
      <c r="E452" s="37"/>
      <c r="F452" s="37"/>
      <c r="G452" s="37"/>
      <c r="H452" s="37"/>
      <c r="I452" s="37"/>
    </row>
    <row r="453" spans="5:9">
      <c r="E453" s="37"/>
      <c r="F453" s="37"/>
      <c r="G453" s="40"/>
      <c r="H453" s="37"/>
      <c r="I453" s="37"/>
    </row>
    <row r="454" spans="5:9">
      <c r="E454" s="37"/>
      <c r="F454" s="37"/>
      <c r="G454" s="40"/>
      <c r="H454" s="37"/>
      <c r="I454" s="37"/>
    </row>
    <row r="455" spans="5:9">
      <c r="E455" s="37"/>
      <c r="F455" s="37"/>
      <c r="G455" s="37"/>
      <c r="H455" s="37"/>
      <c r="I455" s="37"/>
    </row>
    <row r="456" spans="5:9">
      <c r="E456" s="40"/>
      <c r="F456" s="37"/>
      <c r="G456" s="37"/>
      <c r="H456" s="37"/>
      <c r="I456" s="37"/>
    </row>
    <row r="457" spans="5:9">
      <c r="E457" s="37"/>
      <c r="F457" s="37"/>
      <c r="G457" s="37"/>
      <c r="H457" s="37"/>
      <c r="I457" s="37"/>
    </row>
    <row r="458" spans="5:9">
      <c r="E458" s="37"/>
      <c r="F458" s="37"/>
      <c r="G458" s="37"/>
      <c r="H458" s="37"/>
      <c r="I458" s="37"/>
    </row>
    <row r="459" spans="5:9">
      <c r="E459" s="37"/>
      <c r="F459" s="37"/>
      <c r="G459" s="37"/>
      <c r="H459" s="37"/>
      <c r="I459" s="37"/>
    </row>
    <row r="460" spans="5:9">
      <c r="E460" s="37"/>
      <c r="F460" s="37"/>
      <c r="G460" s="37"/>
      <c r="H460" s="37"/>
      <c r="I460" s="37"/>
    </row>
    <row r="461" spans="5:9">
      <c r="E461" s="37"/>
      <c r="F461" s="37"/>
      <c r="G461" s="40"/>
      <c r="H461" s="37"/>
      <c r="I461" s="37"/>
    </row>
    <row r="462" spans="5:9">
      <c r="E462" s="37"/>
      <c r="F462" s="37"/>
      <c r="G462" s="40"/>
      <c r="H462" s="37"/>
      <c r="I462" s="37"/>
    </row>
    <row r="463" spans="5:9">
      <c r="E463" s="37"/>
      <c r="F463" s="37"/>
      <c r="G463" s="37"/>
      <c r="H463" s="37"/>
      <c r="I463" s="37"/>
    </row>
    <row r="464" spans="5:9">
      <c r="E464" s="37"/>
      <c r="F464" s="37"/>
      <c r="G464" s="37"/>
      <c r="H464" s="37"/>
      <c r="I464" s="37"/>
    </row>
    <row r="465" spans="5:9">
      <c r="E465" s="37"/>
      <c r="F465" s="37"/>
      <c r="G465" s="40"/>
      <c r="H465" s="37"/>
      <c r="I465" s="37"/>
    </row>
    <row r="466" spans="5:9">
      <c r="E466" s="37"/>
      <c r="F466" s="37"/>
      <c r="G466" s="37"/>
      <c r="H466" s="37"/>
      <c r="I466" s="37"/>
    </row>
    <row r="467" spans="5:9">
      <c r="E467" s="37"/>
      <c r="F467" s="37"/>
      <c r="G467" s="37"/>
      <c r="H467" s="37"/>
      <c r="I467" s="37"/>
    </row>
    <row r="468" spans="5:9">
      <c r="E468" s="37"/>
      <c r="F468" s="37"/>
      <c r="G468" s="37"/>
      <c r="H468" s="37"/>
      <c r="I468" s="37"/>
    </row>
    <row r="469" spans="5:9">
      <c r="E469" s="37"/>
      <c r="F469" s="37"/>
      <c r="G469" s="37"/>
      <c r="H469" s="37"/>
      <c r="I469" s="37"/>
    </row>
    <row r="470" spans="5:9">
      <c r="E470" s="37"/>
      <c r="F470" s="37"/>
      <c r="G470" s="40"/>
      <c r="H470" s="37"/>
      <c r="I470" s="37"/>
    </row>
    <row r="471" spans="5:9">
      <c r="E471" s="37"/>
      <c r="F471" s="37"/>
      <c r="G471" s="37"/>
      <c r="H471" s="37"/>
      <c r="I471" s="37"/>
    </row>
    <row r="472" spans="5:9">
      <c r="E472" s="37"/>
      <c r="F472" s="37"/>
      <c r="G472" s="37"/>
      <c r="H472" s="37"/>
      <c r="I472" s="37"/>
    </row>
    <row r="473" spans="5:9">
      <c r="E473" s="37"/>
      <c r="F473" s="37"/>
      <c r="G473" s="37"/>
      <c r="H473" s="37"/>
      <c r="I473" s="37"/>
    </row>
    <row r="474" spans="5:9">
      <c r="E474" s="37"/>
      <c r="F474" s="37"/>
      <c r="G474" s="37"/>
      <c r="H474" s="37"/>
      <c r="I474" s="37"/>
    </row>
    <row r="475" spans="5:9">
      <c r="E475" s="37"/>
      <c r="F475" s="37"/>
      <c r="G475" s="40"/>
      <c r="H475" s="37"/>
      <c r="I475" s="37"/>
    </row>
    <row r="476" spans="5:9">
      <c r="E476" s="37"/>
      <c r="F476" s="37"/>
      <c r="G476" s="40"/>
      <c r="H476" s="37"/>
      <c r="I476" s="37"/>
    </row>
    <row r="477" spans="5:9">
      <c r="E477" s="37"/>
      <c r="F477" s="37"/>
      <c r="G477" s="37"/>
      <c r="H477" s="37"/>
      <c r="I477" s="37"/>
    </row>
    <row r="478" spans="5:9">
      <c r="E478" s="37"/>
      <c r="F478" s="37"/>
      <c r="G478" s="40"/>
      <c r="H478" s="37"/>
      <c r="I478" s="37"/>
    </row>
    <row r="479" spans="5:9">
      <c r="E479" s="37"/>
      <c r="F479" s="37"/>
      <c r="G479" s="37"/>
      <c r="H479" s="37"/>
      <c r="I479" s="37"/>
    </row>
    <row r="480" spans="5:9">
      <c r="E480" s="37"/>
      <c r="F480" s="37"/>
      <c r="G480" s="37"/>
      <c r="H480" s="37"/>
      <c r="I480" s="37"/>
    </row>
    <row r="481" spans="5:9">
      <c r="E481" s="37"/>
      <c r="F481" s="37"/>
      <c r="G481" s="37"/>
      <c r="H481" s="37"/>
      <c r="I481" s="37"/>
    </row>
    <row r="482" spans="5:9">
      <c r="E482" s="40"/>
      <c r="F482" s="37"/>
      <c r="G482" s="40"/>
      <c r="H482" s="37"/>
      <c r="I482" s="40"/>
    </row>
    <row r="483" spans="5:9">
      <c r="E483" s="37"/>
      <c r="F483" s="37"/>
      <c r="G483" s="40"/>
      <c r="H483" s="37"/>
      <c r="I483" s="37"/>
    </row>
    <row r="484" spans="5:9">
      <c r="E484" s="37"/>
      <c r="F484" s="37"/>
      <c r="G484" s="40"/>
      <c r="H484" s="37"/>
      <c r="I484" s="37"/>
    </row>
    <row r="485" spans="5:9">
      <c r="E485" s="37"/>
      <c r="F485" s="37"/>
      <c r="G485" s="37"/>
      <c r="H485" s="37"/>
      <c r="I485" s="37"/>
    </row>
    <row r="486" spans="5:9">
      <c r="E486" s="37"/>
      <c r="F486" s="37"/>
      <c r="G486" s="40"/>
      <c r="H486" s="37"/>
      <c r="I486" s="37"/>
    </row>
    <row r="487" spans="5:9">
      <c r="E487" s="37"/>
      <c r="F487" s="37"/>
      <c r="G487" s="40"/>
      <c r="H487" s="37"/>
      <c r="I487" s="37"/>
    </row>
    <row r="488" spans="5:9">
      <c r="E488" s="37"/>
      <c r="F488" s="37"/>
      <c r="G488" s="40"/>
      <c r="H488" s="37"/>
      <c r="I488" s="37"/>
    </row>
    <row r="489" spans="5:9">
      <c r="E489" s="37"/>
      <c r="F489" s="37"/>
      <c r="G489" s="37"/>
      <c r="H489" s="37"/>
      <c r="I489" s="37"/>
    </row>
    <row r="490" spans="5:9">
      <c r="E490" s="37"/>
      <c r="F490" s="37"/>
      <c r="G490" s="40"/>
      <c r="H490" s="37"/>
      <c r="I490" s="37"/>
    </row>
    <row r="491" spans="5:9">
      <c r="E491" s="37"/>
      <c r="F491" s="37"/>
      <c r="G491" s="40"/>
      <c r="H491" s="37"/>
      <c r="I491" s="37"/>
    </row>
    <row r="492" spans="5:9">
      <c r="E492" s="37"/>
      <c r="F492" s="37"/>
      <c r="G492" s="37"/>
      <c r="H492" s="37"/>
      <c r="I492" s="37"/>
    </row>
    <row r="493" spans="5:9">
      <c r="E493" s="37"/>
      <c r="F493" s="37"/>
      <c r="G493" s="40"/>
      <c r="H493" s="37"/>
      <c r="I493" s="40"/>
    </row>
    <row r="494" spans="5:9">
      <c r="E494" s="37"/>
      <c r="F494" s="37"/>
      <c r="G494" s="37"/>
      <c r="H494" s="37"/>
      <c r="I494" s="37"/>
    </row>
    <row r="495" spans="5:9">
      <c r="E495" s="37"/>
      <c r="F495" s="37"/>
      <c r="G495" s="40"/>
      <c r="H495" s="37"/>
      <c r="I495" s="37"/>
    </row>
    <row r="496" spans="5:9">
      <c r="E496" s="37"/>
      <c r="F496" s="37"/>
      <c r="G496" s="40"/>
      <c r="H496" s="37"/>
      <c r="I496" s="37"/>
    </row>
    <row r="497" spans="5:9">
      <c r="E497" s="37"/>
      <c r="F497" s="37"/>
      <c r="G497" s="40"/>
      <c r="H497" s="37"/>
      <c r="I497" s="37"/>
    </row>
    <row r="498" spans="5:9">
      <c r="E498" s="37"/>
      <c r="F498" s="37"/>
      <c r="G498" s="40"/>
      <c r="H498" s="37"/>
      <c r="I498" s="37"/>
    </row>
    <row r="499" spans="5:9">
      <c r="E499" s="37"/>
      <c r="F499" s="37"/>
      <c r="G499" s="40"/>
      <c r="H499" s="37"/>
      <c r="I499" s="37"/>
    </row>
    <row r="500" spans="5:9">
      <c r="E500" s="37"/>
      <c r="F500" s="37"/>
      <c r="G500" s="40"/>
      <c r="H500" s="37"/>
      <c r="I500" s="40"/>
    </row>
    <row r="501" spans="5:9">
      <c r="E501" s="37"/>
      <c r="F501" s="37"/>
      <c r="G501" s="37"/>
      <c r="H501" s="37"/>
      <c r="I501" s="37"/>
    </row>
    <row r="502" spans="5:9">
      <c r="E502" s="37"/>
      <c r="F502" s="37"/>
      <c r="G502" s="40"/>
      <c r="H502" s="37"/>
      <c r="I502" s="37"/>
    </row>
    <row r="503" spans="5:9">
      <c r="E503" s="37"/>
      <c r="F503" s="37"/>
      <c r="G503" s="40"/>
      <c r="H503" s="37"/>
      <c r="I503" s="37"/>
    </row>
    <row r="504" spans="5:9">
      <c r="E504" s="37"/>
      <c r="F504" s="37"/>
      <c r="G504" s="40"/>
      <c r="H504" s="37"/>
      <c r="I504" s="37"/>
    </row>
    <row r="505" spans="5:9">
      <c r="E505" s="40"/>
      <c r="F505" s="37"/>
      <c r="G505" s="37"/>
      <c r="H505" s="37"/>
      <c r="I505" s="37"/>
    </row>
    <row r="506" spans="5:9">
      <c r="E506" s="37"/>
      <c r="F506" s="37"/>
      <c r="G506" s="37"/>
      <c r="H506" s="37"/>
      <c r="I506" s="37"/>
    </row>
    <row r="507" spans="5:9">
      <c r="E507" s="37"/>
      <c r="F507" s="37"/>
      <c r="G507" s="37"/>
      <c r="H507" s="37"/>
      <c r="I507" s="37"/>
    </row>
    <row r="508" spans="5:9">
      <c r="E508" s="37"/>
      <c r="F508" s="37"/>
      <c r="G508" s="40"/>
      <c r="H508" s="37"/>
      <c r="I508" s="37"/>
    </row>
    <row r="509" spans="5:9">
      <c r="E509" s="37"/>
      <c r="F509" s="37"/>
      <c r="G509" s="40"/>
      <c r="H509" s="37"/>
      <c r="I509" s="37"/>
    </row>
    <row r="510" spans="5:9">
      <c r="E510" s="37"/>
      <c r="F510" s="37"/>
      <c r="G510" s="40"/>
      <c r="H510" s="37"/>
      <c r="I510" s="37"/>
    </row>
    <row r="511" spans="5:9">
      <c r="E511" s="37"/>
      <c r="F511" s="37"/>
      <c r="G511" s="37"/>
      <c r="H511" s="37"/>
      <c r="I511" s="37"/>
    </row>
    <row r="512" spans="5:9">
      <c r="E512" s="37"/>
      <c r="F512" s="37"/>
      <c r="G512" s="37"/>
      <c r="H512" s="37"/>
      <c r="I512" s="37"/>
    </row>
    <row r="513" spans="5:9">
      <c r="E513" s="37"/>
      <c r="F513" s="37"/>
      <c r="G513" s="37"/>
      <c r="H513" s="37"/>
      <c r="I513" s="37"/>
    </row>
    <row r="514" spans="5:9">
      <c r="E514" s="37"/>
      <c r="F514" s="37"/>
      <c r="G514" s="37"/>
      <c r="H514" s="37"/>
      <c r="I514" s="37"/>
    </row>
    <row r="515" spans="5:9">
      <c r="E515" s="37"/>
      <c r="F515" s="37"/>
      <c r="G515" s="37"/>
      <c r="H515" s="37"/>
      <c r="I515" s="37"/>
    </row>
    <row r="516" spans="5:9">
      <c r="E516" s="37"/>
      <c r="F516" s="37"/>
      <c r="G516" s="37"/>
      <c r="H516" s="37"/>
      <c r="I516" s="37"/>
    </row>
    <row r="517" spans="5:9">
      <c r="E517" s="37"/>
      <c r="F517" s="37"/>
      <c r="G517" s="37"/>
      <c r="H517" s="37"/>
      <c r="I517" s="37"/>
    </row>
    <row r="518" spans="5:9">
      <c r="E518" s="37"/>
      <c r="F518" s="37"/>
      <c r="G518" s="37"/>
      <c r="H518" s="37"/>
      <c r="I518" s="37"/>
    </row>
    <row r="519" spans="5:9">
      <c r="E519" s="37"/>
      <c r="F519" s="37"/>
      <c r="G519" s="37"/>
      <c r="H519" s="37"/>
      <c r="I519" s="37"/>
    </row>
    <row r="520" spans="5:9">
      <c r="E520" s="37"/>
      <c r="F520" s="37"/>
      <c r="G520" s="37"/>
      <c r="H520" s="37"/>
      <c r="I520" s="37"/>
    </row>
    <row r="521" spans="5:9">
      <c r="E521" s="37"/>
      <c r="F521" s="37"/>
      <c r="G521" s="40"/>
      <c r="H521" s="37"/>
      <c r="I521" s="37"/>
    </row>
    <row r="522" spans="5:9">
      <c r="E522" s="37"/>
      <c r="F522" s="37"/>
      <c r="G522" s="37"/>
      <c r="H522" s="37"/>
      <c r="I522" s="37"/>
    </row>
    <row r="523" spans="5:9">
      <c r="E523" s="37"/>
      <c r="F523" s="37"/>
      <c r="G523" s="37"/>
      <c r="H523" s="37"/>
      <c r="I523" s="37"/>
    </row>
    <row r="524" spans="5:9">
      <c r="E524" s="37"/>
      <c r="F524" s="37"/>
      <c r="G524" s="37"/>
      <c r="H524" s="37"/>
      <c r="I524" s="40"/>
    </row>
    <row r="525" spans="5:9">
      <c r="E525" s="37"/>
      <c r="F525" s="37"/>
      <c r="G525" s="37"/>
      <c r="H525" s="37"/>
      <c r="I525" s="37"/>
    </row>
    <row r="526" spans="5:9">
      <c r="E526" s="37"/>
      <c r="F526" s="37"/>
      <c r="G526" s="37"/>
      <c r="H526" s="37"/>
      <c r="I526" s="37"/>
    </row>
    <row r="527" spans="5:9">
      <c r="E527" s="37"/>
      <c r="F527" s="37"/>
      <c r="G527" s="37"/>
      <c r="H527" s="37"/>
      <c r="I527" s="37"/>
    </row>
    <row r="528" spans="5:9">
      <c r="E528" s="37"/>
      <c r="F528" s="37"/>
      <c r="G528" s="37"/>
      <c r="H528" s="37"/>
      <c r="I528" s="37"/>
    </row>
    <row r="529" spans="5:9">
      <c r="E529" s="37"/>
      <c r="F529" s="37"/>
      <c r="G529" s="37"/>
      <c r="H529" s="37"/>
      <c r="I529" s="37"/>
    </row>
    <row r="530" spans="5:9">
      <c r="E530" s="37"/>
      <c r="F530" s="37"/>
      <c r="G530" s="40"/>
      <c r="H530" s="37"/>
      <c r="I530" s="37"/>
    </row>
    <row r="531" spans="5:9">
      <c r="E531" s="37"/>
      <c r="F531" s="37"/>
      <c r="G531" s="37"/>
      <c r="H531" s="37"/>
      <c r="I531" s="37"/>
    </row>
    <row r="532" spans="5:9">
      <c r="E532" s="37"/>
      <c r="F532" s="37"/>
      <c r="G532" s="40"/>
      <c r="H532" s="37"/>
      <c r="I532" s="37"/>
    </row>
    <row r="533" spans="5:9">
      <c r="E533" s="37"/>
      <c r="F533" s="37"/>
      <c r="G533" s="40"/>
      <c r="H533" s="37"/>
      <c r="I533" s="37"/>
    </row>
    <row r="534" spans="5:9">
      <c r="E534" s="37"/>
      <c r="F534" s="37"/>
      <c r="G534" s="40"/>
      <c r="H534" s="37"/>
      <c r="I534" s="37"/>
    </row>
    <row r="535" spans="5:9">
      <c r="E535" s="37"/>
      <c r="F535" s="37"/>
      <c r="G535" s="40"/>
      <c r="H535" s="37"/>
      <c r="I535" s="37"/>
    </row>
    <row r="536" spans="5:9">
      <c r="E536" s="37"/>
      <c r="F536" s="37"/>
      <c r="G536" s="37"/>
      <c r="H536" s="37"/>
      <c r="I536" s="37"/>
    </row>
    <row r="537" spans="5:9">
      <c r="E537" s="37"/>
      <c r="F537" s="37"/>
      <c r="G537" s="40"/>
      <c r="H537" s="37"/>
      <c r="I537" s="37"/>
    </row>
    <row r="538" spans="5:9">
      <c r="E538" s="37"/>
      <c r="F538" s="37"/>
      <c r="G538" s="40"/>
      <c r="H538" s="37"/>
      <c r="I538" s="40"/>
    </row>
    <row r="539" spans="5:9">
      <c r="E539" s="37"/>
      <c r="F539" s="37"/>
      <c r="G539" s="37"/>
      <c r="H539" s="37"/>
      <c r="I539" s="37"/>
    </row>
    <row r="540" spans="5:9">
      <c r="E540" s="37"/>
      <c r="F540" s="37"/>
      <c r="G540" s="40"/>
      <c r="H540" s="37"/>
      <c r="I540" s="40"/>
    </row>
    <row r="541" spans="5:9">
      <c r="E541" s="37"/>
      <c r="F541" s="37"/>
      <c r="G541" s="40"/>
      <c r="H541" s="37"/>
      <c r="I541" s="40"/>
    </row>
    <row r="542" spans="5:9">
      <c r="E542" s="37"/>
      <c r="F542" s="37"/>
      <c r="G542" s="37"/>
      <c r="H542" s="37"/>
      <c r="I542" s="37"/>
    </row>
    <row r="543" spans="5:9">
      <c r="E543" s="37"/>
      <c r="F543" s="37"/>
      <c r="G543" s="40"/>
      <c r="H543" s="37"/>
      <c r="I543" s="37"/>
    </row>
    <row r="544" spans="5:9">
      <c r="E544" s="37"/>
      <c r="F544" s="37"/>
      <c r="G544" s="40"/>
      <c r="H544" s="37"/>
      <c r="I544" s="37"/>
    </row>
    <row r="545" spans="5:9">
      <c r="E545" s="37"/>
      <c r="F545" s="37"/>
      <c r="G545" s="40"/>
      <c r="H545" s="37"/>
      <c r="I545" s="37"/>
    </row>
    <row r="546" spans="5:9">
      <c r="E546" s="37"/>
      <c r="F546" s="37"/>
      <c r="G546" s="40"/>
      <c r="H546" s="37"/>
      <c r="I546" s="37"/>
    </row>
    <row r="547" spans="5:9">
      <c r="E547" s="37"/>
      <c r="F547" s="37"/>
      <c r="G547" s="40"/>
      <c r="H547" s="37"/>
      <c r="I547" s="37"/>
    </row>
    <row r="548" spans="5:9">
      <c r="E548" s="37"/>
      <c r="F548" s="37"/>
      <c r="G548" s="40"/>
      <c r="H548" s="37"/>
      <c r="I548" s="40"/>
    </row>
    <row r="549" spans="5:9">
      <c r="E549" s="37"/>
      <c r="F549" s="37"/>
      <c r="G549" s="37"/>
      <c r="H549" s="37"/>
      <c r="I549" s="37"/>
    </row>
    <row r="550" spans="5:9">
      <c r="E550" s="37"/>
      <c r="F550" s="37"/>
      <c r="G550" s="37"/>
      <c r="H550" s="37"/>
      <c r="I550" s="37"/>
    </row>
    <row r="551" spans="5:9">
      <c r="E551" s="37"/>
      <c r="F551" s="37"/>
      <c r="G551" s="40"/>
      <c r="H551" s="37"/>
      <c r="I551" s="37"/>
    </row>
    <row r="552" spans="5:9">
      <c r="E552" s="37"/>
      <c r="F552" s="37"/>
      <c r="G552" s="40"/>
      <c r="H552" s="37"/>
      <c r="I552" s="40"/>
    </row>
    <row r="553" spans="5:9">
      <c r="E553" s="40"/>
      <c r="F553" s="37"/>
      <c r="G553" s="37"/>
      <c r="H553" s="37"/>
      <c r="I553" s="37"/>
    </row>
    <row r="554" spans="5:9">
      <c r="E554" s="37"/>
      <c r="F554" s="37"/>
      <c r="G554" s="37"/>
      <c r="H554" s="37"/>
      <c r="I554" s="37"/>
    </row>
    <row r="555" spans="5:9">
      <c r="E555" s="37"/>
      <c r="F555" s="37"/>
      <c r="G555" s="37"/>
      <c r="H555" s="37"/>
      <c r="I555" s="37"/>
    </row>
    <row r="556" spans="5:9">
      <c r="E556" s="40"/>
      <c r="F556" s="37"/>
      <c r="G556" s="40"/>
      <c r="H556" s="37"/>
      <c r="I556" s="37"/>
    </row>
    <row r="557" spans="5:9">
      <c r="E557" s="37"/>
      <c r="F557" s="37"/>
      <c r="G557" s="37"/>
      <c r="H557" s="37"/>
      <c r="I557" s="37"/>
    </row>
    <row r="558" spans="5:9">
      <c r="E558" s="37"/>
      <c r="F558" s="37"/>
      <c r="G558" s="40"/>
      <c r="H558" s="37"/>
      <c r="I558" s="37"/>
    </row>
    <row r="559" spans="5:9">
      <c r="E559" s="37"/>
      <c r="F559" s="37"/>
      <c r="G559" s="37"/>
      <c r="H559" s="37"/>
      <c r="I559" s="37"/>
    </row>
    <row r="560" spans="5:9">
      <c r="E560" s="37"/>
      <c r="F560" s="37"/>
      <c r="G560" s="37"/>
      <c r="H560" s="37"/>
      <c r="I560" s="37"/>
    </row>
    <row r="561" spans="5:9">
      <c r="E561" s="37"/>
      <c r="F561" s="37"/>
      <c r="G561" s="37"/>
      <c r="H561" s="37"/>
      <c r="I561" s="37"/>
    </row>
    <row r="562" spans="5:9">
      <c r="E562" s="40"/>
      <c r="F562" s="37"/>
      <c r="G562" s="37"/>
      <c r="H562" s="37"/>
      <c r="I562" s="37"/>
    </row>
    <row r="563" spans="5:9">
      <c r="E563" s="40"/>
      <c r="F563" s="37"/>
      <c r="G563" s="37"/>
      <c r="H563" s="37"/>
      <c r="I563" s="37"/>
    </row>
    <row r="564" spans="5:9">
      <c r="E564" s="37"/>
      <c r="F564" s="37"/>
      <c r="G564" s="40"/>
      <c r="H564" s="37"/>
      <c r="I564" s="37"/>
    </row>
    <row r="565" spans="5:9">
      <c r="E565" s="37"/>
      <c r="F565" s="37"/>
      <c r="G565" s="37"/>
      <c r="H565" s="37"/>
      <c r="I565" s="37"/>
    </row>
    <row r="566" spans="5:9">
      <c r="E566" s="37"/>
      <c r="F566" s="37"/>
      <c r="G566" s="37"/>
      <c r="H566" s="37"/>
      <c r="I566" s="37"/>
    </row>
    <row r="567" spans="5:9">
      <c r="E567" s="37"/>
      <c r="F567" s="37"/>
      <c r="G567" s="37"/>
      <c r="H567" s="37"/>
      <c r="I567" s="37"/>
    </row>
    <row r="568" spans="5:9">
      <c r="E568" s="37"/>
      <c r="F568" s="37"/>
      <c r="G568" s="37"/>
      <c r="H568" s="37"/>
      <c r="I568" s="37"/>
    </row>
    <row r="569" spans="5:9">
      <c r="E569" s="37"/>
      <c r="F569" s="37"/>
      <c r="G569" s="40"/>
      <c r="H569" s="37"/>
      <c r="I569" s="37"/>
    </row>
    <row r="570" spans="5:9">
      <c r="E570" s="37"/>
      <c r="F570" s="37"/>
      <c r="G570" s="37"/>
      <c r="H570" s="37"/>
      <c r="I570" s="37"/>
    </row>
    <row r="571" spans="5:9">
      <c r="E571" s="37"/>
      <c r="F571" s="37"/>
      <c r="G571" s="40"/>
      <c r="H571" s="37"/>
      <c r="I571" s="37"/>
    </row>
    <row r="572" spans="5:9">
      <c r="E572" s="37"/>
      <c r="F572" s="37"/>
      <c r="G572" s="37"/>
      <c r="H572" s="37"/>
      <c r="I572" s="37"/>
    </row>
    <row r="573" spans="5:9">
      <c r="E573" s="37"/>
      <c r="F573" s="37"/>
      <c r="G573" s="40"/>
      <c r="H573" s="37"/>
      <c r="I573" s="37"/>
    </row>
    <row r="574" spans="5:9">
      <c r="E574" s="37"/>
      <c r="F574" s="37"/>
      <c r="G574" s="37"/>
      <c r="H574" s="37"/>
      <c r="I574" s="37"/>
    </row>
    <row r="575" spans="5:9">
      <c r="E575" s="37"/>
      <c r="F575" s="37"/>
      <c r="G575" s="37"/>
      <c r="H575" s="37"/>
      <c r="I575" s="37"/>
    </row>
    <row r="576" spans="5:9">
      <c r="E576" s="37"/>
      <c r="F576" s="37"/>
      <c r="G576" s="37"/>
      <c r="H576" s="37"/>
      <c r="I576" s="37"/>
    </row>
    <row r="577" spans="5:9">
      <c r="E577" s="37"/>
      <c r="F577" s="37"/>
      <c r="G577" s="37"/>
      <c r="H577" s="37"/>
      <c r="I577" s="37"/>
    </row>
    <row r="578" spans="5:9">
      <c r="E578" s="37"/>
      <c r="F578" s="37"/>
      <c r="G578" s="37"/>
      <c r="H578" s="37"/>
      <c r="I578" s="37"/>
    </row>
    <row r="579" spans="5:9">
      <c r="E579" s="37"/>
      <c r="F579" s="37"/>
      <c r="G579" s="37"/>
      <c r="H579" s="37"/>
      <c r="I579" s="37"/>
    </row>
    <row r="580" spans="5:9">
      <c r="E580" s="37"/>
      <c r="F580" s="37"/>
      <c r="G580" s="37"/>
      <c r="H580" s="37"/>
      <c r="I580" s="37"/>
    </row>
    <row r="581" spans="5:9">
      <c r="E581" s="37"/>
      <c r="F581" s="37"/>
      <c r="G581" s="37"/>
      <c r="H581" s="37"/>
      <c r="I581" s="37"/>
    </row>
    <row r="582" spans="5:9">
      <c r="E582" s="40"/>
      <c r="F582" s="37"/>
      <c r="G582" s="40"/>
      <c r="H582" s="37"/>
      <c r="I582" s="40"/>
    </row>
    <row r="583" spans="5:9">
      <c r="E583" s="37"/>
      <c r="F583" s="37"/>
      <c r="G583" s="37"/>
      <c r="H583" s="37"/>
      <c r="I583" s="37"/>
    </row>
    <row r="584" spans="5:9">
      <c r="E584" s="40"/>
      <c r="F584" s="37"/>
      <c r="G584" s="40"/>
      <c r="H584" s="37"/>
      <c r="I584" s="37"/>
    </row>
    <row r="585" spans="5:9">
      <c r="E585" s="37"/>
      <c r="F585" s="37"/>
      <c r="G585" s="40"/>
      <c r="H585" s="37"/>
      <c r="I585" s="37"/>
    </row>
    <row r="586" spans="5:9">
      <c r="E586" s="37"/>
      <c r="F586" s="37"/>
      <c r="G586" s="40"/>
      <c r="H586" s="37"/>
      <c r="I586" s="37"/>
    </row>
    <row r="587" spans="5:9">
      <c r="E587" s="37"/>
      <c r="F587" s="37"/>
      <c r="G587" s="40"/>
      <c r="H587" s="37"/>
      <c r="I587" s="37"/>
    </row>
    <row r="588" spans="5:9">
      <c r="E588" s="40"/>
      <c r="F588" s="37"/>
      <c r="G588" s="37"/>
      <c r="H588" s="37"/>
      <c r="I588" s="37"/>
    </row>
    <row r="589" spans="5:9">
      <c r="E589" s="37"/>
      <c r="F589" s="37"/>
      <c r="G589" s="40"/>
      <c r="H589" s="37"/>
      <c r="I589" s="37"/>
    </row>
    <row r="590" spans="5:9">
      <c r="E590" s="37"/>
      <c r="F590" s="37"/>
      <c r="G590" s="40"/>
      <c r="H590" s="37"/>
      <c r="I590" s="40"/>
    </row>
    <row r="591" spans="5:9">
      <c r="E591" s="37"/>
      <c r="F591" s="37"/>
      <c r="G591" s="40"/>
      <c r="H591" s="37"/>
      <c r="I591" s="37"/>
    </row>
    <row r="592" spans="5:9">
      <c r="E592" s="37"/>
      <c r="F592" s="37"/>
      <c r="G592" s="37"/>
      <c r="H592" s="37"/>
      <c r="I592" s="37"/>
    </row>
    <row r="593" spans="5:9">
      <c r="E593" s="37"/>
      <c r="F593" s="37"/>
      <c r="G593" s="37"/>
      <c r="H593" s="37"/>
      <c r="I593" s="40"/>
    </row>
    <row r="594" spans="5:9">
      <c r="E594" s="37"/>
      <c r="F594" s="37"/>
      <c r="G594" s="37"/>
      <c r="H594" s="37"/>
      <c r="I594" s="37"/>
    </row>
    <row r="595" spans="5:9">
      <c r="E595" s="37"/>
      <c r="F595" s="37"/>
      <c r="G595" s="40"/>
      <c r="H595" s="37"/>
      <c r="I595" s="37"/>
    </row>
    <row r="596" spans="5:9">
      <c r="E596" s="37"/>
      <c r="F596" s="37"/>
      <c r="G596" s="40"/>
      <c r="H596" s="37"/>
      <c r="I596" s="37"/>
    </row>
    <row r="597" spans="5:9">
      <c r="E597" s="37"/>
      <c r="F597" s="37"/>
      <c r="G597" s="40"/>
      <c r="H597" s="37"/>
      <c r="I597" s="37"/>
    </row>
    <row r="598" spans="5:9">
      <c r="E598" s="37"/>
      <c r="F598" s="37"/>
      <c r="G598" s="40"/>
      <c r="H598" s="37"/>
      <c r="I598" s="37"/>
    </row>
    <row r="599" spans="5:9">
      <c r="E599" s="37"/>
      <c r="F599" s="37"/>
      <c r="G599" s="40"/>
      <c r="H599" s="37"/>
      <c r="I599" s="37"/>
    </row>
    <row r="600" spans="5:9">
      <c r="E600" s="37"/>
      <c r="F600" s="37"/>
      <c r="G600" s="40"/>
      <c r="H600" s="37"/>
      <c r="I600" s="40"/>
    </row>
    <row r="601" spans="5:9">
      <c r="E601" s="37"/>
      <c r="F601" s="37"/>
      <c r="G601" s="37"/>
      <c r="H601" s="37"/>
      <c r="I601" s="37"/>
    </row>
    <row r="602" spans="5:9">
      <c r="E602" s="37"/>
      <c r="F602" s="37"/>
      <c r="G602" s="37"/>
      <c r="H602" s="37"/>
      <c r="I602" s="37"/>
    </row>
    <row r="603" spans="5:9">
      <c r="E603" s="37"/>
      <c r="F603" s="37"/>
      <c r="G603" s="40"/>
      <c r="H603" s="37"/>
      <c r="I603" s="37"/>
    </row>
    <row r="604" spans="5:9">
      <c r="E604" s="37"/>
      <c r="F604" s="37"/>
      <c r="G604" s="37"/>
      <c r="H604" s="37"/>
      <c r="I604" s="37"/>
    </row>
    <row r="605" spans="5:9">
      <c r="E605" s="40"/>
      <c r="F605" s="37"/>
      <c r="G605" s="37"/>
      <c r="H605" s="37"/>
      <c r="I605" s="37"/>
    </row>
    <row r="606" spans="5:9">
      <c r="E606" s="37"/>
      <c r="F606" s="37"/>
      <c r="G606" s="37"/>
      <c r="H606" s="37"/>
      <c r="I606" s="37"/>
    </row>
    <row r="607" spans="5:9">
      <c r="E607" s="37"/>
      <c r="F607" s="37"/>
      <c r="G607" s="40"/>
      <c r="H607" s="37"/>
      <c r="I607" s="40"/>
    </row>
    <row r="608" spans="5:9">
      <c r="E608" s="40"/>
      <c r="F608" s="37"/>
      <c r="G608" s="40"/>
      <c r="H608" s="37"/>
      <c r="I608" s="37"/>
    </row>
    <row r="609" spans="5:9">
      <c r="E609" s="37"/>
      <c r="F609" s="37"/>
      <c r="G609" s="37"/>
      <c r="H609" s="37"/>
      <c r="I609" s="37"/>
    </row>
    <row r="610" spans="5:9">
      <c r="E610" s="37"/>
      <c r="F610" s="37"/>
      <c r="G610" s="40"/>
      <c r="H610" s="37"/>
      <c r="I610" s="37"/>
    </row>
    <row r="611" spans="5:9">
      <c r="E611" s="37"/>
      <c r="F611" s="37"/>
      <c r="G611" s="40"/>
      <c r="H611" s="37"/>
      <c r="I611" s="37"/>
    </row>
    <row r="612" spans="5:9">
      <c r="E612" s="37"/>
      <c r="F612" s="37"/>
      <c r="G612" s="37"/>
      <c r="H612" s="37"/>
      <c r="I612" s="37"/>
    </row>
    <row r="613" spans="5:9">
      <c r="E613" s="37"/>
      <c r="F613" s="37"/>
      <c r="G613" s="40"/>
      <c r="H613" s="37"/>
      <c r="I613" s="37"/>
    </row>
    <row r="614" spans="5:9">
      <c r="E614" s="37"/>
      <c r="F614" s="37"/>
      <c r="G614" s="40"/>
      <c r="H614" s="37"/>
      <c r="I614" s="37"/>
    </row>
    <row r="615" spans="5:9">
      <c r="E615" s="40"/>
      <c r="F615" s="37"/>
      <c r="G615" s="37"/>
      <c r="H615" s="37"/>
      <c r="I615" s="37"/>
    </row>
    <row r="616" spans="5:9">
      <c r="E616" s="37"/>
      <c r="F616" s="37"/>
      <c r="G616" s="37"/>
      <c r="H616" s="37"/>
      <c r="I616" s="37"/>
    </row>
    <row r="617" spans="5:9">
      <c r="E617" s="37"/>
      <c r="F617" s="37"/>
      <c r="G617" s="37"/>
      <c r="H617" s="37"/>
      <c r="I617" s="37"/>
    </row>
    <row r="618" spans="5:9">
      <c r="E618" s="37"/>
      <c r="F618" s="37"/>
      <c r="G618" s="37"/>
      <c r="H618" s="37"/>
      <c r="I618" s="37"/>
    </row>
    <row r="619" spans="5:9">
      <c r="E619" s="37"/>
      <c r="F619" s="37"/>
      <c r="G619" s="37"/>
      <c r="H619" s="37"/>
      <c r="I619" s="37"/>
    </row>
    <row r="620" spans="5:9">
      <c r="E620" s="37"/>
      <c r="F620" s="37"/>
      <c r="G620" s="40"/>
      <c r="H620" s="37"/>
      <c r="I620" s="37"/>
    </row>
    <row r="621" spans="5:9">
      <c r="E621" s="37"/>
      <c r="F621" s="37"/>
      <c r="G621" s="37"/>
      <c r="H621" s="37"/>
      <c r="I621" s="37"/>
    </row>
    <row r="622" spans="5:9">
      <c r="E622" s="37"/>
      <c r="F622" s="37"/>
      <c r="G622" s="40"/>
      <c r="H622" s="37"/>
      <c r="I622" s="37"/>
    </row>
    <row r="623" spans="5:9">
      <c r="E623" s="37"/>
      <c r="F623" s="37"/>
      <c r="G623" s="37"/>
      <c r="H623" s="37"/>
      <c r="I623" s="37"/>
    </row>
    <row r="624" spans="5:9">
      <c r="E624" s="37"/>
      <c r="F624" s="37"/>
      <c r="G624" s="37"/>
      <c r="H624" s="37"/>
      <c r="I624" s="37"/>
    </row>
    <row r="625" spans="5:9">
      <c r="E625" s="37"/>
      <c r="F625" s="37"/>
      <c r="G625" s="37"/>
      <c r="H625" s="37"/>
      <c r="I625" s="37"/>
    </row>
    <row r="626" spans="5:9">
      <c r="E626" s="37"/>
      <c r="F626" s="37"/>
      <c r="G626" s="37"/>
      <c r="H626" s="37"/>
      <c r="I626" s="37"/>
    </row>
    <row r="627" spans="5:9">
      <c r="E627" s="37"/>
      <c r="F627" s="37"/>
      <c r="G627" s="37"/>
      <c r="H627" s="37"/>
      <c r="I627" s="37"/>
    </row>
    <row r="628" spans="5:9">
      <c r="E628" s="37"/>
      <c r="F628" s="37"/>
      <c r="G628" s="37"/>
      <c r="H628" s="37"/>
      <c r="I628" s="37"/>
    </row>
    <row r="629" spans="5:9">
      <c r="E629" s="37"/>
      <c r="F629" s="37"/>
      <c r="G629" s="37"/>
      <c r="H629" s="37"/>
      <c r="I629" s="37"/>
    </row>
    <row r="630" spans="5:9">
      <c r="E630" s="37"/>
      <c r="F630" s="37"/>
      <c r="G630" s="37"/>
      <c r="H630" s="37"/>
      <c r="I630" s="37"/>
    </row>
    <row r="631" spans="5:9">
      <c r="E631" s="40"/>
      <c r="F631" s="37"/>
      <c r="G631" s="40"/>
      <c r="H631" s="37"/>
      <c r="I631" s="37"/>
    </row>
    <row r="632" spans="5:9">
      <c r="E632" s="37"/>
      <c r="F632" s="37"/>
      <c r="G632" s="37"/>
      <c r="H632" s="37"/>
      <c r="I632" s="37"/>
    </row>
    <row r="633" spans="5:9">
      <c r="E633" s="37"/>
      <c r="F633" s="37"/>
      <c r="G633" s="40"/>
      <c r="H633" s="37"/>
      <c r="I633" s="37"/>
    </row>
    <row r="634" spans="5:9">
      <c r="E634" s="37"/>
      <c r="F634" s="37"/>
      <c r="G634" s="40"/>
      <c r="H634" s="37"/>
      <c r="I634" s="37"/>
    </row>
    <row r="635" spans="5:9">
      <c r="E635" s="37"/>
      <c r="F635" s="37"/>
      <c r="G635" s="40"/>
      <c r="H635" s="37"/>
      <c r="I635" s="37"/>
    </row>
    <row r="636" spans="5:9">
      <c r="E636" s="37"/>
      <c r="F636" s="37"/>
      <c r="G636" s="40"/>
      <c r="H636" s="37"/>
      <c r="I636" s="37"/>
    </row>
    <row r="637" spans="5:9">
      <c r="E637" s="37"/>
      <c r="F637" s="37"/>
      <c r="G637" s="40"/>
      <c r="H637" s="37"/>
      <c r="I637" s="37"/>
    </row>
    <row r="638" spans="5:9">
      <c r="E638" s="37"/>
      <c r="F638" s="37"/>
      <c r="G638" s="37"/>
      <c r="H638" s="37"/>
      <c r="I638" s="37"/>
    </row>
    <row r="639" spans="5:9">
      <c r="E639" s="37"/>
      <c r="F639" s="37"/>
      <c r="G639" s="40"/>
      <c r="H639" s="37"/>
      <c r="I639" s="40"/>
    </row>
    <row r="640" spans="5:9">
      <c r="E640" s="37"/>
      <c r="F640" s="37"/>
      <c r="G640" s="37"/>
      <c r="H640" s="37"/>
      <c r="I640" s="37"/>
    </row>
    <row r="641" spans="5:9">
      <c r="E641" s="37"/>
      <c r="F641" s="37"/>
      <c r="G641" s="37"/>
      <c r="H641" s="37"/>
      <c r="I641" s="37"/>
    </row>
    <row r="642" spans="5:9">
      <c r="E642" s="37"/>
      <c r="F642" s="37"/>
      <c r="G642" s="40"/>
      <c r="H642" s="37"/>
      <c r="I642" s="40"/>
    </row>
    <row r="643" spans="5:9">
      <c r="E643" s="37"/>
      <c r="F643" s="37"/>
      <c r="G643" s="37"/>
      <c r="H643" s="37"/>
      <c r="I643" s="37"/>
    </row>
    <row r="644" spans="5:9">
      <c r="E644" s="37"/>
      <c r="F644" s="37"/>
      <c r="G644" s="40"/>
      <c r="H644" s="37"/>
      <c r="I644" s="37"/>
    </row>
    <row r="645" spans="5:9">
      <c r="E645" s="37"/>
      <c r="F645" s="37"/>
      <c r="G645" s="37"/>
      <c r="H645" s="37"/>
      <c r="I645" s="37"/>
    </row>
    <row r="646" spans="5:9">
      <c r="E646" s="37"/>
      <c r="F646" s="37"/>
      <c r="G646" s="40"/>
      <c r="H646" s="37"/>
      <c r="I646" s="37"/>
    </row>
    <row r="647" spans="5:9">
      <c r="E647" s="37"/>
      <c r="F647" s="37"/>
      <c r="G647" s="40"/>
      <c r="H647" s="37"/>
      <c r="I647" s="37"/>
    </row>
    <row r="648" spans="5:9">
      <c r="E648" s="37"/>
      <c r="F648" s="37"/>
      <c r="G648" s="37"/>
      <c r="H648" s="37"/>
      <c r="I648" s="37"/>
    </row>
    <row r="649" spans="5:9">
      <c r="E649" s="37"/>
      <c r="F649" s="37"/>
      <c r="G649" s="40"/>
      <c r="H649" s="37"/>
      <c r="I649" s="37"/>
    </row>
    <row r="650" spans="5:9">
      <c r="E650" s="37"/>
      <c r="F650" s="37"/>
      <c r="G650" s="37"/>
      <c r="H650" s="37"/>
      <c r="I650" s="37"/>
    </row>
    <row r="651" spans="5:9">
      <c r="E651" s="37"/>
      <c r="F651" s="37"/>
      <c r="G651" s="37"/>
      <c r="H651" s="37"/>
      <c r="I651" s="37"/>
    </row>
    <row r="652" spans="5:9">
      <c r="E652" s="37"/>
      <c r="F652" s="37"/>
      <c r="G652" s="40"/>
      <c r="H652" s="37"/>
      <c r="I652" s="37"/>
    </row>
    <row r="653" spans="5:9">
      <c r="E653" s="37"/>
      <c r="F653" s="37"/>
      <c r="G653" s="37"/>
      <c r="H653" s="37"/>
      <c r="I653" s="37"/>
    </row>
    <row r="654" spans="5:9">
      <c r="E654" s="40"/>
      <c r="F654" s="37"/>
      <c r="G654" s="37"/>
      <c r="H654" s="37"/>
      <c r="I654" s="37"/>
    </row>
    <row r="655" spans="5:9">
      <c r="E655" s="37"/>
      <c r="F655" s="37"/>
      <c r="G655" s="37"/>
      <c r="H655" s="37"/>
      <c r="I655" s="37"/>
    </row>
    <row r="656" spans="5:9">
      <c r="E656" s="37"/>
      <c r="F656" s="37"/>
      <c r="G656" s="37"/>
      <c r="H656" s="37"/>
      <c r="I656" s="37"/>
    </row>
    <row r="657" spans="5:9">
      <c r="E657" s="40"/>
      <c r="F657" s="37"/>
      <c r="G657" s="40"/>
      <c r="H657" s="37"/>
      <c r="I657" s="37"/>
    </row>
    <row r="658" spans="5:9">
      <c r="E658" s="37"/>
      <c r="F658" s="37"/>
      <c r="G658" s="37"/>
      <c r="H658" s="37"/>
      <c r="I658" s="37"/>
    </row>
    <row r="659" spans="5:9">
      <c r="E659" s="37"/>
      <c r="F659" s="37"/>
      <c r="G659" s="40"/>
      <c r="H659" s="37"/>
      <c r="I659" s="37"/>
    </row>
    <row r="660" spans="5:9">
      <c r="E660" s="37"/>
      <c r="F660" s="37"/>
      <c r="G660" s="37"/>
      <c r="H660" s="37"/>
      <c r="I660" s="37"/>
    </row>
    <row r="661" spans="5:9">
      <c r="E661" s="37"/>
      <c r="F661" s="37"/>
      <c r="G661" s="40"/>
      <c r="H661" s="37"/>
      <c r="I661" s="37"/>
    </row>
    <row r="662" spans="5:9">
      <c r="E662" s="37"/>
      <c r="F662" s="37"/>
      <c r="G662" s="37"/>
      <c r="H662" s="37"/>
      <c r="I662" s="37"/>
    </row>
    <row r="663" spans="5:9">
      <c r="E663" s="40"/>
      <c r="F663" s="37"/>
      <c r="G663" s="37"/>
      <c r="H663" s="37"/>
      <c r="I663" s="37"/>
    </row>
    <row r="664" spans="5:9">
      <c r="E664" s="40"/>
      <c r="F664" s="37"/>
      <c r="G664" s="37"/>
      <c r="H664" s="37"/>
      <c r="I664" s="37"/>
    </row>
    <row r="665" spans="5:9">
      <c r="E665" s="37"/>
      <c r="F665" s="37"/>
      <c r="G665" s="37"/>
      <c r="H665" s="37"/>
      <c r="I665" s="37"/>
    </row>
    <row r="666" spans="5:9">
      <c r="E666" s="37"/>
      <c r="F666" s="37"/>
      <c r="G666" s="37"/>
      <c r="H666" s="37"/>
      <c r="I666" s="37"/>
    </row>
    <row r="667" spans="5:9">
      <c r="E667" s="37"/>
      <c r="F667" s="37"/>
      <c r="G667" s="37"/>
      <c r="H667" s="37"/>
      <c r="I667" s="37"/>
    </row>
    <row r="668" spans="5:9">
      <c r="E668" s="37"/>
      <c r="F668" s="37"/>
      <c r="G668" s="40"/>
      <c r="H668" s="37"/>
      <c r="I668" s="37"/>
    </row>
    <row r="669" spans="5:9">
      <c r="E669" s="37"/>
      <c r="F669" s="37"/>
      <c r="G669" s="37"/>
      <c r="H669" s="37"/>
      <c r="I669" s="37"/>
    </row>
    <row r="670" spans="5:9">
      <c r="E670" s="37"/>
      <c r="F670" s="37"/>
      <c r="G670" s="40"/>
      <c r="H670" s="37"/>
      <c r="I670" s="37"/>
    </row>
    <row r="671" spans="5:9">
      <c r="E671" s="37"/>
      <c r="F671" s="37"/>
      <c r="G671" s="37"/>
      <c r="H671" s="37"/>
      <c r="I671" s="37"/>
    </row>
    <row r="672" spans="5:9">
      <c r="E672" s="37"/>
      <c r="F672" s="37"/>
      <c r="G672" s="40"/>
      <c r="H672" s="37"/>
      <c r="I672" s="37"/>
    </row>
    <row r="673" spans="5:9">
      <c r="E673" s="37"/>
      <c r="F673" s="37"/>
      <c r="G673" s="37"/>
      <c r="H673" s="37"/>
      <c r="I673" s="37"/>
    </row>
    <row r="674" spans="5:9">
      <c r="E674" s="37"/>
      <c r="F674" s="37"/>
      <c r="G674" s="37"/>
      <c r="H674" s="37"/>
      <c r="I674" s="37"/>
    </row>
    <row r="675" spans="5:9">
      <c r="E675" s="37"/>
      <c r="F675" s="37"/>
      <c r="G675" s="37"/>
      <c r="H675" s="37"/>
      <c r="I675" s="37"/>
    </row>
    <row r="676" spans="5:9">
      <c r="E676" s="37"/>
      <c r="F676" s="37"/>
      <c r="G676" s="37"/>
      <c r="H676" s="37"/>
      <c r="I676" s="37"/>
    </row>
    <row r="677" spans="5:9">
      <c r="E677" s="37"/>
      <c r="F677" s="37"/>
      <c r="G677" s="40"/>
      <c r="H677" s="37"/>
      <c r="I677" s="37"/>
    </row>
    <row r="678" spans="5:9">
      <c r="E678" s="37"/>
      <c r="F678" s="37"/>
      <c r="G678" s="40"/>
      <c r="H678" s="37"/>
      <c r="I678" s="37"/>
    </row>
    <row r="679" spans="5:9">
      <c r="E679" s="37"/>
      <c r="F679" s="37"/>
      <c r="G679" s="37"/>
      <c r="H679" s="37"/>
      <c r="I679" s="37"/>
    </row>
    <row r="680" spans="5:9">
      <c r="E680" s="37"/>
      <c r="F680" s="37"/>
      <c r="G680" s="37"/>
      <c r="H680" s="37"/>
      <c r="I680" s="37"/>
    </row>
    <row r="681" spans="5:9">
      <c r="E681" s="37"/>
      <c r="F681" s="37"/>
      <c r="G681" s="37"/>
      <c r="H681" s="37"/>
      <c r="I681" s="37"/>
    </row>
    <row r="682" spans="5:9">
      <c r="E682" s="37"/>
      <c r="F682" s="37"/>
      <c r="G682" s="37"/>
      <c r="H682" s="37"/>
      <c r="I682" s="40"/>
    </row>
    <row r="683" spans="5:9">
      <c r="E683" s="40"/>
      <c r="F683" s="37"/>
      <c r="G683" s="40"/>
      <c r="H683" s="37"/>
      <c r="I683" s="40"/>
    </row>
    <row r="684" spans="5:9">
      <c r="E684" s="37"/>
      <c r="F684" s="37"/>
      <c r="G684" s="37"/>
      <c r="H684" s="37"/>
      <c r="I684" s="37"/>
    </row>
    <row r="685" spans="5:9">
      <c r="E685" s="37"/>
      <c r="F685" s="37"/>
      <c r="G685" s="40"/>
      <c r="H685" s="37"/>
      <c r="I685" s="37"/>
    </row>
    <row r="686" spans="5:9">
      <c r="E686" s="37"/>
      <c r="F686" s="37"/>
      <c r="G686" s="40"/>
      <c r="H686" s="37"/>
      <c r="I686" s="37"/>
    </row>
    <row r="687" spans="5:9">
      <c r="E687" s="37"/>
      <c r="F687" s="37"/>
      <c r="G687" s="40"/>
      <c r="H687" s="37"/>
      <c r="I687" s="37"/>
    </row>
    <row r="688" spans="5:9">
      <c r="E688" s="37"/>
      <c r="F688" s="37"/>
      <c r="G688" s="40"/>
      <c r="H688" s="37"/>
      <c r="I688" s="37"/>
    </row>
    <row r="689" spans="5:9">
      <c r="E689" s="37"/>
      <c r="F689" s="37"/>
      <c r="G689" s="40"/>
      <c r="H689" s="37"/>
      <c r="I689" s="37"/>
    </row>
    <row r="690" spans="5:9">
      <c r="E690" s="37"/>
      <c r="F690" s="37"/>
      <c r="G690" s="37"/>
      <c r="H690" s="37"/>
      <c r="I690" s="37"/>
    </row>
    <row r="691" spans="5:9">
      <c r="E691" s="37"/>
      <c r="F691" s="37"/>
      <c r="G691" s="40"/>
      <c r="H691" s="37"/>
      <c r="I691" s="37"/>
    </row>
    <row r="692" spans="5:9">
      <c r="E692" s="37"/>
      <c r="F692" s="37"/>
      <c r="G692" s="37"/>
      <c r="H692" s="37"/>
      <c r="I692" s="37"/>
    </row>
    <row r="693" spans="5:9">
      <c r="E693" s="37"/>
      <c r="F693" s="37"/>
      <c r="G693" s="40"/>
      <c r="H693" s="37"/>
      <c r="I693" s="40"/>
    </row>
    <row r="694" spans="5:9">
      <c r="E694" s="37"/>
      <c r="F694" s="37"/>
      <c r="G694" s="40"/>
      <c r="H694" s="37"/>
      <c r="I694" s="37"/>
    </row>
    <row r="695" spans="5:9">
      <c r="E695" s="37"/>
      <c r="F695" s="37"/>
      <c r="G695" s="37"/>
      <c r="H695" s="37"/>
      <c r="I695" s="37"/>
    </row>
    <row r="696" spans="5:9">
      <c r="E696" s="37"/>
      <c r="F696" s="37"/>
      <c r="G696" s="40"/>
      <c r="H696" s="37"/>
      <c r="I696" s="37"/>
    </row>
    <row r="697" spans="5:9">
      <c r="E697" s="37"/>
      <c r="F697" s="37"/>
      <c r="G697" s="40"/>
      <c r="H697" s="37"/>
      <c r="I697" s="37"/>
    </row>
    <row r="698" spans="5:9">
      <c r="E698" s="37"/>
      <c r="F698" s="37"/>
      <c r="G698" s="40"/>
      <c r="H698" s="37"/>
      <c r="I698" s="37"/>
    </row>
    <row r="699" spans="5:9">
      <c r="E699" s="37"/>
      <c r="F699" s="37"/>
      <c r="G699" s="40"/>
      <c r="H699" s="37"/>
      <c r="I699" s="37"/>
    </row>
    <row r="700" spans="5:9">
      <c r="E700" s="37"/>
      <c r="F700" s="37"/>
      <c r="G700" s="40"/>
      <c r="H700" s="37"/>
      <c r="I700" s="37"/>
    </row>
    <row r="701" spans="5:9">
      <c r="E701" s="37"/>
      <c r="F701" s="37"/>
      <c r="G701" s="40"/>
      <c r="H701" s="37"/>
      <c r="I701" s="40"/>
    </row>
    <row r="702" spans="5:9">
      <c r="E702" s="37"/>
      <c r="F702" s="37"/>
      <c r="G702" s="37"/>
      <c r="H702" s="37"/>
      <c r="I702" s="37"/>
    </row>
    <row r="703" spans="5:9">
      <c r="E703" s="37"/>
      <c r="F703" s="37"/>
      <c r="G703" s="37"/>
      <c r="H703" s="37"/>
      <c r="I703" s="37"/>
    </row>
    <row r="704" spans="5:9">
      <c r="E704" s="37"/>
      <c r="F704" s="37"/>
      <c r="G704" s="40"/>
      <c r="H704" s="37"/>
      <c r="I704" s="37"/>
    </row>
    <row r="705" spans="5:9">
      <c r="E705" s="37"/>
      <c r="F705" s="37"/>
      <c r="G705" s="37"/>
      <c r="H705" s="37"/>
      <c r="I705" s="37"/>
    </row>
    <row r="706" spans="5:9">
      <c r="E706" s="37"/>
      <c r="F706" s="37"/>
      <c r="G706" s="37"/>
      <c r="H706" s="37"/>
      <c r="I706" s="37"/>
    </row>
    <row r="707" spans="5:9">
      <c r="E707" s="40"/>
      <c r="F707" s="37"/>
      <c r="G707" s="40"/>
      <c r="H707" s="37"/>
      <c r="I707" s="37"/>
    </row>
    <row r="708" spans="5:9">
      <c r="E708" s="37"/>
      <c r="F708" s="37"/>
      <c r="G708" s="37"/>
      <c r="H708" s="37"/>
      <c r="I708" s="37"/>
    </row>
    <row r="709" spans="5:9">
      <c r="E709" s="37"/>
      <c r="F709" s="37"/>
      <c r="G709" s="40"/>
      <c r="H709" s="37"/>
      <c r="I709" s="37"/>
    </row>
    <row r="710" spans="5:9">
      <c r="E710" s="40"/>
      <c r="F710" s="37"/>
      <c r="G710" s="40"/>
      <c r="H710" s="37"/>
      <c r="I710" s="37"/>
    </row>
    <row r="711" spans="5:9">
      <c r="E711" s="37"/>
      <c r="F711" s="37"/>
      <c r="G711" s="40"/>
      <c r="H711" s="37"/>
      <c r="I711" s="37"/>
    </row>
    <row r="712" spans="5:9">
      <c r="E712" s="37"/>
      <c r="F712" s="37"/>
      <c r="G712" s="40"/>
      <c r="H712" s="37"/>
      <c r="I712" s="37"/>
    </row>
    <row r="713" spans="5:9">
      <c r="E713" s="37"/>
      <c r="F713" s="37"/>
      <c r="G713" s="37"/>
      <c r="H713" s="37"/>
      <c r="I713" s="37"/>
    </row>
    <row r="714" spans="5:9">
      <c r="E714" s="37"/>
      <c r="F714" s="37"/>
      <c r="G714" s="40"/>
      <c r="H714" s="37"/>
      <c r="I714" s="37"/>
    </row>
    <row r="715" spans="5:9">
      <c r="E715" s="37"/>
      <c r="F715" s="37"/>
      <c r="G715" s="37"/>
      <c r="H715" s="37"/>
      <c r="I715" s="37"/>
    </row>
    <row r="716" spans="5:9">
      <c r="E716" s="40"/>
      <c r="F716" s="37"/>
      <c r="G716" s="37"/>
      <c r="H716" s="37"/>
      <c r="I716" s="37"/>
    </row>
    <row r="717" spans="5:9">
      <c r="E717" s="40"/>
      <c r="F717" s="37"/>
      <c r="G717" s="37"/>
      <c r="H717" s="37"/>
      <c r="I717" s="37"/>
    </row>
    <row r="718" spans="5:9">
      <c r="E718" s="37"/>
      <c r="F718" s="37"/>
      <c r="G718" s="37"/>
      <c r="H718" s="37"/>
      <c r="I718" s="37"/>
    </row>
    <row r="719" spans="5:9">
      <c r="E719" s="37"/>
      <c r="F719" s="37"/>
      <c r="G719" s="37"/>
      <c r="H719" s="37"/>
      <c r="I719" s="37"/>
    </row>
    <row r="720" spans="5:9">
      <c r="E720" s="37"/>
      <c r="F720" s="37"/>
      <c r="G720" s="37"/>
      <c r="H720" s="37"/>
      <c r="I720" s="37"/>
    </row>
    <row r="721" spans="5:9">
      <c r="E721" s="37"/>
      <c r="F721" s="37"/>
      <c r="G721" s="37"/>
      <c r="H721" s="37"/>
      <c r="I721" s="37"/>
    </row>
    <row r="722" spans="5:9">
      <c r="E722" s="37"/>
      <c r="F722" s="37"/>
      <c r="G722" s="37"/>
      <c r="H722" s="37"/>
      <c r="I722" s="37"/>
    </row>
    <row r="723" spans="5:9">
      <c r="E723" s="37"/>
      <c r="F723" s="37"/>
      <c r="G723" s="40"/>
      <c r="H723" s="37"/>
      <c r="I723" s="37"/>
    </row>
    <row r="724" spans="5:9">
      <c r="E724" s="37"/>
      <c r="F724" s="37"/>
      <c r="G724" s="40"/>
      <c r="H724" s="37"/>
      <c r="I724" s="37"/>
    </row>
    <row r="725" spans="5:9">
      <c r="E725" s="37"/>
      <c r="F725" s="37"/>
      <c r="G725" s="40"/>
      <c r="H725" s="37"/>
      <c r="I725" s="37"/>
    </row>
    <row r="726" spans="5:9">
      <c r="E726" s="37"/>
      <c r="F726" s="37"/>
      <c r="G726" s="37"/>
      <c r="H726" s="37"/>
      <c r="I726" s="37"/>
    </row>
    <row r="727" spans="5:9">
      <c r="E727" s="37"/>
      <c r="F727" s="37"/>
      <c r="G727" s="37"/>
      <c r="H727" s="37"/>
      <c r="I727" s="37"/>
    </row>
    <row r="728" spans="5:9">
      <c r="E728" s="37"/>
      <c r="F728" s="37"/>
      <c r="G728" s="40"/>
      <c r="H728" s="37"/>
      <c r="I728" s="37"/>
    </row>
    <row r="729" spans="5:9">
      <c r="E729" s="37"/>
      <c r="F729" s="37"/>
      <c r="G729" s="37"/>
      <c r="H729" s="37"/>
      <c r="I729" s="37"/>
    </row>
    <row r="730" spans="5:9">
      <c r="E730" s="37"/>
      <c r="F730" s="37"/>
      <c r="G730" s="37"/>
      <c r="H730" s="37"/>
      <c r="I730" s="37"/>
    </row>
    <row r="731" spans="5:9">
      <c r="E731" s="37"/>
      <c r="F731" s="37"/>
      <c r="G731" s="40"/>
      <c r="H731" s="37"/>
      <c r="I731" s="37"/>
    </row>
    <row r="732" spans="5:9">
      <c r="E732" s="37"/>
      <c r="F732" s="37"/>
      <c r="G732" s="37"/>
      <c r="H732" s="37"/>
      <c r="I732" s="37"/>
    </row>
    <row r="733" spans="5:9">
      <c r="E733" s="37"/>
      <c r="F733" s="37"/>
      <c r="G733" s="37"/>
      <c r="H733" s="37"/>
      <c r="I733" s="37"/>
    </row>
    <row r="734" spans="5:9">
      <c r="E734" s="37"/>
      <c r="F734" s="37"/>
      <c r="G734" s="37"/>
      <c r="H734" s="37"/>
      <c r="I734" s="37"/>
    </row>
    <row r="735" spans="5:9">
      <c r="E735" s="40"/>
      <c r="F735" s="37"/>
      <c r="G735" s="40"/>
      <c r="H735" s="37"/>
      <c r="I735" s="40"/>
    </row>
    <row r="736" spans="5:9">
      <c r="E736" s="37"/>
      <c r="F736" s="37"/>
      <c r="G736" s="37"/>
      <c r="H736" s="37"/>
      <c r="I736" s="37"/>
    </row>
    <row r="737" spans="5:9">
      <c r="E737" s="37"/>
      <c r="F737" s="37"/>
      <c r="G737" s="40"/>
      <c r="H737" s="37"/>
      <c r="I737" s="37"/>
    </row>
    <row r="738" spans="5:9">
      <c r="E738" s="37"/>
      <c r="F738" s="37"/>
      <c r="G738" s="40"/>
      <c r="H738" s="37"/>
      <c r="I738" s="37"/>
    </row>
    <row r="739" spans="5:9">
      <c r="E739" s="37"/>
      <c r="F739" s="37"/>
      <c r="G739" s="40"/>
      <c r="H739" s="37"/>
      <c r="I739" s="37"/>
    </row>
    <row r="740" spans="5:9">
      <c r="E740" s="37"/>
      <c r="F740" s="37"/>
      <c r="G740" s="37"/>
      <c r="H740" s="37"/>
      <c r="I740" s="37"/>
    </row>
    <row r="741" spans="5:9">
      <c r="E741" s="37"/>
      <c r="F741" s="37"/>
      <c r="G741" s="40"/>
      <c r="H741" s="37"/>
      <c r="I741" s="37"/>
    </row>
    <row r="742" spans="5:9">
      <c r="E742" s="37"/>
      <c r="F742" s="37"/>
      <c r="G742" s="37"/>
      <c r="H742" s="37"/>
      <c r="I742" s="37"/>
    </row>
    <row r="743" spans="5:9">
      <c r="E743" s="37"/>
      <c r="F743" s="37"/>
      <c r="G743" s="40"/>
      <c r="H743" s="37"/>
      <c r="I743" s="37"/>
    </row>
    <row r="744" spans="5:9">
      <c r="E744" s="37"/>
      <c r="F744" s="37"/>
      <c r="G744" s="37"/>
      <c r="H744" s="37"/>
      <c r="I744" s="37"/>
    </row>
    <row r="745" spans="5:9">
      <c r="E745" s="37"/>
      <c r="F745" s="37"/>
      <c r="G745" s="40"/>
      <c r="H745" s="37"/>
      <c r="I745" s="40"/>
    </row>
    <row r="746" spans="5:9">
      <c r="E746" s="37"/>
      <c r="F746" s="37"/>
      <c r="G746" s="37"/>
      <c r="H746" s="37"/>
      <c r="I746" s="37"/>
    </row>
    <row r="747" spans="5:9">
      <c r="E747" s="37"/>
      <c r="F747" s="37"/>
      <c r="G747" s="37"/>
      <c r="H747" s="37"/>
      <c r="I747" s="37"/>
    </row>
    <row r="748" spans="5:9">
      <c r="E748" s="37"/>
      <c r="F748" s="37"/>
      <c r="G748" s="40"/>
      <c r="H748" s="37"/>
      <c r="I748" s="37"/>
    </row>
    <row r="749" spans="5:9">
      <c r="E749" s="37"/>
      <c r="F749" s="37"/>
      <c r="G749" s="40"/>
      <c r="H749" s="37"/>
      <c r="I749" s="37"/>
    </row>
    <row r="750" spans="5:9">
      <c r="E750" s="37"/>
      <c r="F750" s="37"/>
      <c r="G750" s="40"/>
      <c r="H750" s="37"/>
      <c r="I750" s="37"/>
    </row>
    <row r="751" spans="5:9">
      <c r="E751" s="37"/>
      <c r="F751" s="37"/>
      <c r="G751" s="40"/>
      <c r="H751" s="37"/>
      <c r="I751" s="37"/>
    </row>
    <row r="752" spans="5:9">
      <c r="E752" s="37"/>
      <c r="F752" s="37"/>
      <c r="G752" s="40"/>
      <c r="H752" s="37"/>
      <c r="I752" s="37"/>
    </row>
    <row r="753" spans="5:9">
      <c r="E753" s="37"/>
      <c r="F753" s="37"/>
      <c r="G753" s="40"/>
      <c r="H753" s="37"/>
      <c r="I753" s="40"/>
    </row>
    <row r="754" spans="5:9">
      <c r="E754" s="37"/>
      <c r="F754" s="37"/>
      <c r="G754" s="40"/>
      <c r="H754" s="37"/>
      <c r="I754" s="37"/>
    </row>
    <row r="755" spans="5:9">
      <c r="E755" s="37"/>
      <c r="F755" s="37"/>
      <c r="G755" s="40"/>
      <c r="H755" s="37"/>
      <c r="I755" s="37"/>
    </row>
    <row r="756" spans="5:9">
      <c r="E756" s="37"/>
      <c r="F756" s="37"/>
      <c r="G756" s="37"/>
      <c r="H756" s="37"/>
      <c r="I756" s="40"/>
    </row>
    <row r="757" spans="5:9">
      <c r="E757" s="37"/>
      <c r="F757" s="37"/>
      <c r="G757" s="37"/>
      <c r="H757" s="37"/>
      <c r="I757" s="37"/>
    </row>
    <row r="758" spans="5:9">
      <c r="E758" s="37"/>
      <c r="F758" s="37"/>
      <c r="G758" s="37"/>
      <c r="H758" s="37"/>
      <c r="I758" s="37"/>
    </row>
    <row r="759" spans="5:9">
      <c r="E759" s="40"/>
      <c r="F759" s="37"/>
      <c r="G759" s="37"/>
      <c r="H759" s="37"/>
      <c r="I759" s="37"/>
    </row>
    <row r="760" spans="5:9">
      <c r="E760" s="37"/>
      <c r="F760" s="37"/>
      <c r="G760" s="37"/>
      <c r="H760" s="37"/>
      <c r="I760" s="37"/>
    </row>
    <row r="761" spans="5:9">
      <c r="E761" s="37"/>
      <c r="F761" s="37"/>
      <c r="G761" s="37"/>
      <c r="H761" s="37"/>
      <c r="I761" s="37"/>
    </row>
    <row r="762" spans="5:9">
      <c r="E762" s="40"/>
      <c r="F762" s="37"/>
      <c r="G762" s="40"/>
      <c r="H762" s="37"/>
      <c r="I762" s="37"/>
    </row>
    <row r="763" spans="5:9">
      <c r="E763" s="37"/>
      <c r="F763" s="37"/>
      <c r="G763" s="37"/>
      <c r="H763" s="37"/>
      <c r="I763" s="37"/>
    </row>
    <row r="764" spans="5:9">
      <c r="E764" s="37"/>
      <c r="F764" s="37"/>
      <c r="G764" s="37"/>
      <c r="H764" s="37"/>
      <c r="I764" s="37"/>
    </row>
    <row r="765" spans="5:9">
      <c r="E765" s="37"/>
      <c r="F765" s="37"/>
      <c r="G765" s="37"/>
      <c r="H765" s="37"/>
      <c r="I765" s="37"/>
    </row>
    <row r="766" spans="5:9">
      <c r="E766" s="37"/>
      <c r="F766" s="37"/>
      <c r="G766" s="37"/>
      <c r="H766" s="37"/>
      <c r="I766" s="37"/>
    </row>
    <row r="767" spans="5:9">
      <c r="E767" s="37"/>
      <c r="F767" s="37"/>
      <c r="G767" s="37"/>
      <c r="H767" s="37"/>
      <c r="I767" s="37"/>
    </row>
    <row r="768" spans="5:9">
      <c r="E768" s="40"/>
      <c r="F768" s="37"/>
      <c r="G768" s="40"/>
      <c r="H768" s="37"/>
      <c r="I768" s="37"/>
    </row>
    <row r="769" spans="5:9">
      <c r="E769" s="40"/>
      <c r="F769" s="37"/>
      <c r="G769" s="37"/>
      <c r="H769" s="37"/>
      <c r="I769" s="37"/>
    </row>
    <row r="770" spans="5:9">
      <c r="E770" s="37"/>
      <c r="F770" s="37"/>
      <c r="G770" s="37"/>
      <c r="H770" s="37"/>
      <c r="I770" s="37"/>
    </row>
    <row r="771" spans="5:9">
      <c r="E771" s="37"/>
      <c r="F771" s="37"/>
      <c r="G771" s="37"/>
      <c r="H771" s="37"/>
      <c r="I771" s="37"/>
    </row>
    <row r="772" spans="5:9">
      <c r="E772" s="37"/>
      <c r="F772" s="37"/>
      <c r="G772" s="37"/>
      <c r="H772" s="37"/>
      <c r="I772" s="37"/>
    </row>
    <row r="773" spans="5:9">
      <c r="E773" s="37"/>
      <c r="F773" s="37"/>
      <c r="G773" s="37"/>
      <c r="H773" s="37"/>
      <c r="I773" s="37"/>
    </row>
    <row r="774" spans="5:9">
      <c r="E774" s="37"/>
      <c r="F774" s="37"/>
      <c r="G774" s="37"/>
      <c r="H774" s="37"/>
      <c r="I774" s="37"/>
    </row>
    <row r="775" spans="5:9">
      <c r="E775" s="37"/>
      <c r="F775" s="37"/>
      <c r="G775" s="40"/>
      <c r="H775" s="37"/>
      <c r="I775" s="37"/>
    </row>
    <row r="776" spans="5:9">
      <c r="E776" s="37"/>
      <c r="F776" s="37"/>
      <c r="G776" s="37"/>
      <c r="H776" s="37"/>
      <c r="I776" s="37"/>
    </row>
    <row r="777" spans="5:9">
      <c r="E777" s="37"/>
      <c r="F777" s="37"/>
      <c r="G777" s="40"/>
      <c r="H777" s="37"/>
      <c r="I777" s="37"/>
    </row>
    <row r="778" spans="5:9">
      <c r="E778" s="37"/>
      <c r="F778" s="37"/>
      <c r="G778" s="40"/>
      <c r="H778" s="37"/>
      <c r="I778" s="37"/>
    </row>
    <row r="779" spans="5:9">
      <c r="E779" s="37"/>
      <c r="F779" s="37"/>
      <c r="G779" s="40"/>
      <c r="H779" s="37"/>
      <c r="I779" s="37"/>
    </row>
    <row r="780" spans="5:9">
      <c r="E780" s="37"/>
      <c r="F780" s="37"/>
      <c r="G780" s="37"/>
      <c r="H780" s="37"/>
      <c r="I780" s="37"/>
    </row>
    <row r="781" spans="5:9">
      <c r="E781" s="37"/>
      <c r="F781" s="37"/>
      <c r="G781" s="37"/>
      <c r="H781" s="37"/>
      <c r="I781" s="37"/>
    </row>
    <row r="782" spans="5:9">
      <c r="E782" s="37"/>
      <c r="F782" s="37"/>
      <c r="G782" s="40"/>
      <c r="H782" s="37"/>
      <c r="I782" s="37"/>
    </row>
    <row r="783" spans="5:9">
      <c r="E783" s="37"/>
      <c r="F783" s="37"/>
      <c r="G783" s="40"/>
      <c r="H783" s="37"/>
      <c r="I783" s="37"/>
    </row>
    <row r="784" spans="5:9">
      <c r="E784" s="37"/>
      <c r="F784" s="37"/>
      <c r="G784" s="37"/>
      <c r="H784" s="37"/>
      <c r="I784" s="37"/>
    </row>
    <row r="785" spans="5:9">
      <c r="E785" s="37"/>
      <c r="F785" s="37"/>
      <c r="G785" s="37"/>
      <c r="H785" s="37"/>
      <c r="I785" s="37"/>
    </row>
    <row r="786" spans="5:9">
      <c r="E786" s="37"/>
      <c r="F786" s="37"/>
      <c r="G786" s="37"/>
      <c r="H786" s="37"/>
      <c r="I786" s="37"/>
    </row>
    <row r="787" spans="5:9">
      <c r="E787" s="37"/>
      <c r="F787" s="37"/>
      <c r="G787" s="37"/>
      <c r="H787" s="37"/>
      <c r="I787" s="37"/>
    </row>
    <row r="788" spans="5:9">
      <c r="E788" s="37"/>
      <c r="F788" s="37"/>
      <c r="G788" s="40"/>
      <c r="H788" s="37"/>
      <c r="I788" s="37"/>
    </row>
    <row r="789" spans="5:9">
      <c r="E789" s="37"/>
      <c r="F789" s="37"/>
      <c r="G789" s="40"/>
      <c r="H789" s="37"/>
      <c r="I789" s="37"/>
    </row>
    <row r="790" spans="5:9">
      <c r="E790" s="37"/>
      <c r="F790" s="37"/>
      <c r="G790" s="37"/>
      <c r="H790" s="37"/>
      <c r="I790" s="37"/>
    </row>
    <row r="791" spans="5:9">
      <c r="E791" s="37"/>
      <c r="F791" s="37"/>
      <c r="G791" s="37"/>
      <c r="H791" s="37"/>
      <c r="I791" s="37"/>
    </row>
    <row r="792" spans="5:9">
      <c r="E792" s="37"/>
      <c r="F792" s="37"/>
      <c r="G792" s="40"/>
      <c r="H792" s="37"/>
      <c r="I792" s="37"/>
    </row>
    <row r="793" spans="5:9">
      <c r="E793" s="37"/>
      <c r="F793" s="37"/>
      <c r="G793" s="40"/>
      <c r="H793" s="37"/>
      <c r="I793" s="37"/>
    </row>
    <row r="794" spans="5:9">
      <c r="E794" s="37"/>
      <c r="F794" s="37"/>
      <c r="G794" s="40"/>
      <c r="H794" s="37"/>
      <c r="I794" s="40"/>
    </row>
    <row r="795" spans="5:9">
      <c r="E795" s="37"/>
      <c r="F795" s="37"/>
      <c r="G795" s="40"/>
      <c r="H795" s="37"/>
      <c r="I795" s="37"/>
    </row>
    <row r="796" spans="5:9">
      <c r="E796" s="37"/>
      <c r="F796" s="37"/>
      <c r="G796" s="37"/>
      <c r="H796" s="37"/>
      <c r="I796" s="37"/>
    </row>
    <row r="797" spans="5:9">
      <c r="E797" s="37"/>
      <c r="F797" s="37"/>
      <c r="G797" s="40"/>
      <c r="H797" s="37"/>
      <c r="I797" s="40"/>
    </row>
    <row r="798" spans="5:9">
      <c r="E798" s="37"/>
      <c r="F798" s="37"/>
      <c r="G798" s="40"/>
      <c r="H798" s="37"/>
      <c r="I798" s="37"/>
    </row>
    <row r="799" spans="5:9">
      <c r="E799" s="37"/>
      <c r="F799" s="37"/>
      <c r="G799" s="40"/>
      <c r="H799" s="37"/>
      <c r="I799" s="37"/>
    </row>
    <row r="800" spans="5:9">
      <c r="E800" s="37"/>
      <c r="F800" s="37"/>
      <c r="G800" s="37"/>
      <c r="H800" s="37"/>
      <c r="I800" s="37"/>
    </row>
    <row r="801" spans="5:9">
      <c r="E801" s="37"/>
      <c r="F801" s="37"/>
      <c r="G801" s="40"/>
      <c r="H801" s="37"/>
      <c r="I801" s="37"/>
    </row>
    <row r="802" spans="5:9">
      <c r="E802" s="37"/>
      <c r="F802" s="37"/>
      <c r="G802" s="40"/>
      <c r="H802" s="37"/>
      <c r="I802" s="37"/>
    </row>
    <row r="803" spans="5:9">
      <c r="E803" s="37"/>
      <c r="F803" s="37"/>
      <c r="G803" s="40"/>
      <c r="H803" s="37"/>
      <c r="I803" s="37"/>
    </row>
    <row r="804" spans="5:9">
      <c r="E804" s="37"/>
      <c r="F804" s="37"/>
      <c r="G804" s="40"/>
      <c r="H804" s="37"/>
      <c r="I804" s="37"/>
    </row>
    <row r="805" spans="5:9">
      <c r="E805" s="37"/>
      <c r="F805" s="37"/>
      <c r="G805" s="40"/>
      <c r="H805" s="37"/>
      <c r="I805" s="37"/>
    </row>
    <row r="806" spans="5:9">
      <c r="E806" s="37"/>
      <c r="F806" s="37"/>
      <c r="G806" s="40"/>
      <c r="H806" s="37"/>
      <c r="I806" s="40"/>
    </row>
    <row r="807" spans="5:9">
      <c r="E807" s="37"/>
      <c r="F807" s="37"/>
      <c r="G807" s="37"/>
      <c r="H807" s="37"/>
      <c r="I807" s="37"/>
    </row>
    <row r="808" spans="5:9">
      <c r="E808" s="37"/>
      <c r="F808" s="37"/>
      <c r="G808" s="40"/>
      <c r="H808" s="37"/>
      <c r="I808" s="37"/>
    </row>
    <row r="809" spans="5:9">
      <c r="E809" s="37"/>
      <c r="F809" s="37"/>
      <c r="G809" s="37"/>
      <c r="H809" s="37"/>
      <c r="I809" s="37"/>
    </row>
    <row r="810" spans="5:9">
      <c r="E810" s="37"/>
      <c r="F810" s="37"/>
      <c r="G810" s="37"/>
      <c r="H810" s="37"/>
      <c r="I810" s="37"/>
    </row>
    <row r="811" spans="5:9">
      <c r="E811" s="40"/>
      <c r="F811" s="37"/>
      <c r="G811" s="40"/>
      <c r="H811" s="37"/>
      <c r="I811" s="37"/>
    </row>
    <row r="812" spans="5:9">
      <c r="E812" s="37"/>
      <c r="F812" s="37"/>
      <c r="G812" s="37"/>
      <c r="H812" s="37"/>
      <c r="I812" s="37"/>
    </row>
    <row r="813" spans="5:9">
      <c r="E813" s="37"/>
      <c r="F813" s="37"/>
      <c r="G813" s="37"/>
      <c r="H813" s="37"/>
      <c r="I813" s="37"/>
    </row>
    <row r="814" spans="5:9">
      <c r="E814" s="37"/>
      <c r="F814" s="37"/>
      <c r="G814" s="40"/>
      <c r="H814" s="37"/>
      <c r="I814" s="37"/>
    </row>
    <row r="815" spans="5:9">
      <c r="E815" s="37"/>
      <c r="F815" s="37"/>
      <c r="G815" s="37"/>
      <c r="H815" s="37"/>
      <c r="I815" s="37"/>
    </row>
    <row r="816" spans="5:9">
      <c r="E816" s="37"/>
      <c r="F816" s="37"/>
      <c r="G816" s="37"/>
      <c r="H816" s="37"/>
      <c r="I816" s="37"/>
    </row>
    <row r="817" spans="5:9">
      <c r="E817" s="37"/>
      <c r="F817" s="37"/>
      <c r="G817" s="40"/>
      <c r="H817" s="37"/>
      <c r="I817" s="37"/>
    </row>
    <row r="818" spans="5:9">
      <c r="E818" s="37"/>
      <c r="F818" s="37"/>
      <c r="G818" s="40"/>
      <c r="H818" s="37"/>
      <c r="I818" s="40"/>
    </row>
    <row r="819" spans="5:9">
      <c r="E819" s="37"/>
      <c r="F819" s="37"/>
      <c r="G819" s="37"/>
      <c r="H819" s="37"/>
      <c r="I819" s="37"/>
    </row>
    <row r="820" spans="5:9">
      <c r="E820" s="37"/>
      <c r="F820" s="37"/>
      <c r="G820" s="37"/>
      <c r="H820" s="37"/>
      <c r="I820" s="37"/>
    </row>
    <row r="821" spans="5:9">
      <c r="E821" s="37"/>
      <c r="F821" s="37"/>
      <c r="G821" s="37"/>
      <c r="H821" s="37"/>
      <c r="I821" s="37"/>
    </row>
    <row r="822" spans="5:9">
      <c r="E822" s="37"/>
      <c r="F822" s="37"/>
      <c r="G822" s="37"/>
      <c r="H822" s="37"/>
      <c r="I822" s="37"/>
    </row>
    <row r="823" spans="5:9">
      <c r="E823" s="37"/>
      <c r="F823" s="37"/>
      <c r="G823" s="37"/>
      <c r="H823" s="37"/>
      <c r="I823" s="37"/>
    </row>
    <row r="824" spans="5:9">
      <c r="E824" s="37"/>
      <c r="F824" s="37"/>
      <c r="G824" s="37"/>
      <c r="H824" s="37"/>
      <c r="I824" s="37"/>
    </row>
    <row r="825" spans="5:9">
      <c r="E825" s="37"/>
      <c r="F825" s="37"/>
      <c r="G825" s="37"/>
      <c r="H825" s="37"/>
      <c r="I825" s="37"/>
    </row>
    <row r="826" spans="5:9">
      <c r="E826" s="37"/>
      <c r="F826" s="37"/>
      <c r="G826" s="37"/>
      <c r="H826" s="37"/>
      <c r="I826" s="37"/>
    </row>
    <row r="827" spans="5:9">
      <c r="E827" s="37"/>
      <c r="F827" s="37"/>
      <c r="G827" s="37"/>
      <c r="H827" s="37"/>
      <c r="I827" s="37"/>
    </row>
    <row r="828" spans="5:9">
      <c r="E828" s="37"/>
      <c r="F828" s="37"/>
      <c r="G828" s="37"/>
      <c r="H828" s="37"/>
      <c r="I828" s="37"/>
    </row>
    <row r="829" spans="5:9">
      <c r="E829" s="37"/>
      <c r="F829" s="37"/>
      <c r="G829" s="37"/>
      <c r="H829" s="37"/>
      <c r="I829" s="37"/>
    </row>
    <row r="830" spans="5:9">
      <c r="E830" s="37"/>
      <c r="F830" s="37"/>
      <c r="G830" s="37"/>
      <c r="H830" s="37"/>
      <c r="I830" s="37"/>
    </row>
    <row r="831" spans="5:9">
      <c r="E831" s="37"/>
      <c r="F831" s="37"/>
      <c r="G831" s="40"/>
      <c r="H831" s="37"/>
      <c r="I831" s="37"/>
    </row>
    <row r="832" spans="5:9">
      <c r="E832" s="37"/>
      <c r="F832" s="37"/>
      <c r="G832" s="37"/>
      <c r="H832" s="37"/>
      <c r="I832" s="37"/>
    </row>
    <row r="833" spans="5:9">
      <c r="E833" s="37"/>
      <c r="F833" s="37"/>
      <c r="G833" s="37"/>
      <c r="H833" s="37"/>
      <c r="I833" s="37"/>
    </row>
    <row r="834" spans="5:9">
      <c r="E834" s="37"/>
      <c r="F834" s="37"/>
      <c r="G834" s="37"/>
      <c r="H834" s="37"/>
      <c r="I834" s="37"/>
    </row>
    <row r="835" spans="5:9">
      <c r="E835" s="37"/>
      <c r="F835" s="37"/>
      <c r="G835" s="37"/>
      <c r="H835" s="37"/>
      <c r="I835" s="37"/>
    </row>
    <row r="836" spans="5:9">
      <c r="E836" s="37"/>
      <c r="F836" s="37"/>
      <c r="G836" s="37"/>
      <c r="H836" s="37"/>
      <c r="I836" s="37"/>
    </row>
    <row r="837" spans="5:9">
      <c r="E837" s="37"/>
      <c r="F837" s="37"/>
      <c r="G837" s="37"/>
      <c r="H837" s="37"/>
      <c r="I837" s="37"/>
    </row>
    <row r="838" spans="5:9">
      <c r="E838" s="37"/>
      <c r="F838" s="37"/>
      <c r="G838" s="40"/>
      <c r="H838" s="37"/>
      <c r="I838" s="37"/>
    </row>
    <row r="839" spans="5:9">
      <c r="E839" s="40"/>
      <c r="F839" s="37"/>
      <c r="G839" s="40"/>
      <c r="H839" s="37"/>
      <c r="I839" s="37"/>
    </row>
    <row r="840" spans="5:9">
      <c r="E840" s="37"/>
      <c r="F840" s="37"/>
      <c r="G840" s="37"/>
      <c r="H840" s="37"/>
      <c r="I840" s="37"/>
    </row>
    <row r="841" spans="5:9">
      <c r="E841" s="37"/>
      <c r="F841" s="37"/>
      <c r="G841" s="40"/>
      <c r="H841" s="37"/>
      <c r="I841" s="37"/>
    </row>
    <row r="842" spans="5:9">
      <c r="E842" s="37"/>
      <c r="F842" s="37"/>
      <c r="G842" s="40"/>
      <c r="H842" s="37"/>
      <c r="I842" s="37"/>
    </row>
    <row r="843" spans="5:9">
      <c r="E843" s="37"/>
      <c r="F843" s="37"/>
      <c r="G843" s="37"/>
      <c r="H843" s="37"/>
      <c r="I843" s="37"/>
    </row>
    <row r="844" spans="5:9">
      <c r="E844" s="37"/>
      <c r="F844" s="37"/>
      <c r="G844" s="40"/>
      <c r="H844" s="37"/>
      <c r="I844" s="37"/>
    </row>
    <row r="845" spans="5:9">
      <c r="E845" s="37"/>
      <c r="F845" s="37"/>
      <c r="G845" s="40"/>
      <c r="H845" s="37"/>
      <c r="I845" s="37"/>
    </row>
    <row r="846" spans="5:9">
      <c r="E846" s="37"/>
      <c r="F846" s="37"/>
      <c r="G846" s="37"/>
      <c r="H846" s="37"/>
      <c r="I846" s="37"/>
    </row>
    <row r="847" spans="5:9">
      <c r="E847" s="37"/>
      <c r="F847" s="37"/>
      <c r="G847" s="40"/>
      <c r="H847" s="37"/>
      <c r="I847" s="37"/>
    </row>
    <row r="848" spans="5:9">
      <c r="E848" s="37"/>
      <c r="F848" s="37"/>
      <c r="G848" s="37"/>
      <c r="H848" s="37"/>
      <c r="I848" s="37"/>
    </row>
    <row r="849" spans="5:9">
      <c r="E849" s="37"/>
      <c r="F849" s="37"/>
      <c r="G849" s="37"/>
      <c r="H849" s="37"/>
      <c r="I849" s="37"/>
    </row>
    <row r="850" spans="5:9">
      <c r="E850" s="37"/>
      <c r="F850" s="37"/>
      <c r="G850" s="40"/>
      <c r="H850" s="37"/>
      <c r="I850" s="37"/>
    </row>
    <row r="851" spans="5:9">
      <c r="E851" s="37"/>
      <c r="F851" s="37"/>
      <c r="G851" s="37"/>
      <c r="H851" s="37"/>
      <c r="I851" s="37"/>
    </row>
    <row r="852" spans="5:9">
      <c r="E852" s="37"/>
      <c r="F852" s="37"/>
      <c r="G852" s="40"/>
      <c r="H852" s="37"/>
      <c r="I852" s="37"/>
    </row>
    <row r="853" spans="5:9">
      <c r="E853" s="37"/>
      <c r="F853" s="37"/>
      <c r="G853" s="40"/>
      <c r="H853" s="37"/>
      <c r="I853" s="37"/>
    </row>
    <row r="854" spans="5:9">
      <c r="E854" s="37"/>
      <c r="F854" s="37"/>
      <c r="G854" s="40"/>
      <c r="H854" s="37"/>
      <c r="I854" s="37"/>
    </row>
    <row r="855" spans="5:9">
      <c r="E855" s="37"/>
      <c r="F855" s="37"/>
      <c r="G855" s="37"/>
      <c r="H855" s="37"/>
      <c r="I855" s="37"/>
    </row>
    <row r="856" spans="5:9">
      <c r="E856" s="37"/>
      <c r="F856" s="37"/>
      <c r="G856" s="40"/>
      <c r="H856" s="37"/>
      <c r="I856" s="37"/>
    </row>
    <row r="857" spans="5:9">
      <c r="E857" s="37"/>
      <c r="F857" s="37"/>
      <c r="G857" s="40"/>
      <c r="H857" s="37"/>
      <c r="I857" s="40"/>
    </row>
    <row r="858" spans="5:9">
      <c r="E858" s="37"/>
      <c r="F858" s="37"/>
      <c r="G858" s="37"/>
      <c r="H858" s="37"/>
      <c r="I858" s="37"/>
    </row>
    <row r="859" spans="5:9">
      <c r="E859" s="37"/>
      <c r="F859" s="37"/>
      <c r="G859" s="40"/>
      <c r="H859" s="37"/>
      <c r="I859" s="37"/>
    </row>
    <row r="860" spans="5:9">
      <c r="E860" s="37"/>
      <c r="F860" s="37"/>
      <c r="G860" s="40"/>
      <c r="H860" s="37"/>
      <c r="I860" s="37"/>
    </row>
    <row r="861" spans="5:9">
      <c r="E861" s="37"/>
      <c r="F861" s="37"/>
      <c r="G861" s="37"/>
      <c r="H861" s="37"/>
      <c r="I861" s="37"/>
    </row>
    <row r="862" spans="5:9">
      <c r="E862" s="37"/>
      <c r="F862" s="37"/>
      <c r="G862" s="37"/>
      <c r="H862" s="37"/>
      <c r="I862" s="37"/>
    </row>
    <row r="863" spans="5:9">
      <c r="E863" s="40"/>
      <c r="F863" s="37"/>
      <c r="G863" s="37"/>
      <c r="H863" s="37"/>
      <c r="I863" s="37"/>
    </row>
    <row r="864" spans="5:9">
      <c r="E864" s="37"/>
      <c r="F864" s="37"/>
      <c r="G864" s="37"/>
      <c r="H864" s="37"/>
      <c r="I864" s="37"/>
    </row>
    <row r="865" spans="5:9">
      <c r="E865" s="37"/>
      <c r="F865" s="37"/>
      <c r="G865" s="37"/>
      <c r="H865" s="37"/>
      <c r="I865" s="37"/>
    </row>
    <row r="866" spans="5:9">
      <c r="E866" s="37"/>
      <c r="F866" s="37"/>
      <c r="G866" s="40"/>
      <c r="H866" s="37"/>
      <c r="I866" s="37"/>
    </row>
    <row r="867" spans="5:9">
      <c r="E867" s="37"/>
      <c r="F867" s="37"/>
      <c r="G867" s="40"/>
      <c r="H867" s="37"/>
      <c r="I867" s="37"/>
    </row>
    <row r="868" spans="5:9">
      <c r="E868" s="37"/>
      <c r="F868" s="37"/>
      <c r="G868" s="37"/>
      <c r="H868" s="37"/>
      <c r="I868" s="37"/>
    </row>
    <row r="869" spans="5:9">
      <c r="E869" s="37"/>
      <c r="F869" s="37"/>
      <c r="G869" s="37"/>
      <c r="H869" s="37"/>
      <c r="I869" s="37"/>
    </row>
    <row r="870" spans="5:9">
      <c r="E870" s="37"/>
      <c r="F870" s="37"/>
      <c r="G870" s="40"/>
      <c r="H870" s="37"/>
      <c r="I870" s="37"/>
    </row>
    <row r="871" spans="5:9">
      <c r="E871" s="37"/>
      <c r="F871" s="37"/>
      <c r="G871" s="37"/>
      <c r="H871" s="37"/>
      <c r="I871" s="37"/>
    </row>
    <row r="872" spans="5:9">
      <c r="E872" s="37"/>
      <c r="F872" s="37"/>
      <c r="G872" s="40"/>
      <c r="H872" s="37"/>
      <c r="I872" s="37"/>
    </row>
    <row r="873" spans="5:9">
      <c r="E873" s="37"/>
      <c r="F873" s="37"/>
      <c r="G873" s="37"/>
      <c r="H873" s="37"/>
      <c r="I873" s="37"/>
    </row>
    <row r="874" spans="5:9">
      <c r="E874" s="37"/>
      <c r="F874" s="37"/>
      <c r="G874" s="37"/>
      <c r="H874" s="37"/>
      <c r="I874" s="37"/>
    </row>
    <row r="875" spans="5:9">
      <c r="E875" s="37"/>
      <c r="F875" s="37"/>
      <c r="G875" s="37"/>
      <c r="H875" s="37"/>
      <c r="I875" s="37"/>
    </row>
    <row r="876" spans="5:9">
      <c r="E876" s="37"/>
      <c r="F876" s="37"/>
      <c r="G876" s="37"/>
      <c r="H876" s="37"/>
      <c r="I876" s="37"/>
    </row>
    <row r="877" spans="5:9">
      <c r="E877" s="37"/>
      <c r="F877" s="37"/>
      <c r="G877" s="37"/>
      <c r="H877" s="37"/>
      <c r="I877" s="37"/>
    </row>
    <row r="878" spans="5:9">
      <c r="E878" s="37"/>
      <c r="F878" s="37"/>
      <c r="G878" s="37"/>
      <c r="H878" s="37"/>
      <c r="I878" s="37"/>
    </row>
    <row r="879" spans="5:9">
      <c r="E879" s="37"/>
      <c r="F879" s="37"/>
      <c r="G879" s="37"/>
      <c r="H879" s="37"/>
      <c r="I879" s="37"/>
    </row>
    <row r="880" spans="5:9">
      <c r="E880" s="37"/>
      <c r="F880" s="37"/>
      <c r="G880" s="37"/>
      <c r="H880" s="37"/>
      <c r="I880" s="37"/>
    </row>
    <row r="881" spans="5:9">
      <c r="E881" s="37"/>
      <c r="F881" s="37"/>
      <c r="G881" s="37"/>
      <c r="H881" s="37"/>
      <c r="I881" s="37"/>
    </row>
    <row r="882" spans="5:9">
      <c r="E882" s="37"/>
      <c r="F882" s="37"/>
      <c r="G882" s="37"/>
      <c r="H882" s="37"/>
      <c r="I882" s="37"/>
    </row>
    <row r="883" spans="5:9">
      <c r="E883" s="37"/>
      <c r="F883" s="37"/>
      <c r="G883" s="37"/>
      <c r="H883" s="37"/>
      <c r="I883" s="37"/>
    </row>
    <row r="884" spans="5:9">
      <c r="E884" s="37"/>
      <c r="F884" s="37"/>
      <c r="G884" s="37"/>
      <c r="H884" s="37"/>
      <c r="I884" s="37"/>
    </row>
    <row r="885" spans="5:9">
      <c r="E885" s="37"/>
      <c r="F885" s="37"/>
      <c r="G885" s="40"/>
      <c r="H885" s="37"/>
      <c r="I885" s="40"/>
    </row>
    <row r="886" spans="5:9">
      <c r="E886" s="37"/>
      <c r="F886" s="37"/>
      <c r="G886" s="37"/>
      <c r="H886" s="37"/>
      <c r="I886" s="37"/>
    </row>
    <row r="887" spans="5:9">
      <c r="E887" s="37"/>
      <c r="F887" s="37"/>
      <c r="G887" s="37"/>
      <c r="H887" s="37"/>
      <c r="I887" s="37"/>
    </row>
    <row r="888" spans="5:9">
      <c r="E888" s="37"/>
      <c r="F888" s="37"/>
      <c r="G888" s="37"/>
      <c r="H888" s="37"/>
      <c r="I888" s="37"/>
    </row>
    <row r="889" spans="5:9">
      <c r="E889" s="37"/>
      <c r="F889" s="37"/>
      <c r="G889" s="40"/>
      <c r="H889" s="37"/>
      <c r="I889" s="37"/>
    </row>
    <row r="890" spans="5:9">
      <c r="E890" s="37"/>
      <c r="F890" s="37"/>
      <c r="G890" s="40"/>
      <c r="H890" s="37"/>
      <c r="I890" s="40"/>
    </row>
    <row r="891" spans="5:9">
      <c r="E891" s="37"/>
      <c r="F891" s="37"/>
      <c r="G891" s="37"/>
      <c r="H891" s="37"/>
      <c r="I891" s="37"/>
    </row>
    <row r="892" spans="5:9">
      <c r="E892" s="37"/>
      <c r="F892" s="37"/>
      <c r="G892" s="40"/>
      <c r="H892" s="37"/>
      <c r="I892" s="37"/>
    </row>
    <row r="893" spans="5:9">
      <c r="E893" s="37"/>
      <c r="F893" s="37"/>
      <c r="G893" s="37"/>
      <c r="H893" s="37"/>
      <c r="I893" s="37"/>
    </row>
    <row r="894" spans="5:9">
      <c r="E894" s="37"/>
      <c r="F894" s="37"/>
      <c r="G894" s="40"/>
      <c r="H894" s="37"/>
      <c r="I894" s="40"/>
    </row>
    <row r="895" spans="5:9">
      <c r="E895" s="37"/>
      <c r="F895" s="37"/>
      <c r="G895" s="40"/>
      <c r="H895" s="37"/>
      <c r="I895" s="37"/>
    </row>
    <row r="896" spans="5:9">
      <c r="E896" s="37"/>
      <c r="F896" s="37"/>
      <c r="G896" s="40"/>
      <c r="H896" s="37"/>
      <c r="I896" s="37"/>
    </row>
    <row r="897" spans="5:9">
      <c r="E897" s="37"/>
      <c r="F897" s="37"/>
      <c r="G897" s="37"/>
      <c r="H897" s="37"/>
      <c r="I897" s="37"/>
    </row>
    <row r="898" spans="5:9">
      <c r="E898" s="37"/>
      <c r="F898" s="37"/>
      <c r="G898" s="40"/>
      <c r="H898" s="37"/>
      <c r="I898" s="37"/>
    </row>
    <row r="899" spans="5:9">
      <c r="E899" s="37"/>
      <c r="F899" s="37"/>
      <c r="G899" s="37"/>
      <c r="H899" s="37"/>
      <c r="I899" s="37"/>
    </row>
    <row r="900" spans="5:9">
      <c r="E900" s="37"/>
      <c r="F900" s="37"/>
      <c r="G900" s="40"/>
      <c r="H900" s="37"/>
      <c r="I900" s="37"/>
    </row>
    <row r="901" spans="5:9">
      <c r="E901" s="37"/>
      <c r="F901" s="37"/>
      <c r="G901" s="40"/>
      <c r="H901" s="37"/>
      <c r="I901" s="40"/>
    </row>
    <row r="902" spans="5:9">
      <c r="E902" s="37"/>
      <c r="F902" s="37"/>
      <c r="G902" s="37"/>
      <c r="H902" s="37"/>
      <c r="I902" s="37"/>
    </row>
    <row r="903" spans="5:9">
      <c r="E903" s="37"/>
      <c r="F903" s="37"/>
      <c r="G903" s="40"/>
      <c r="H903" s="37"/>
      <c r="I903" s="37"/>
    </row>
    <row r="904" spans="5:9">
      <c r="E904" s="37"/>
      <c r="F904" s="37"/>
      <c r="G904" s="40"/>
      <c r="H904" s="37"/>
      <c r="I904" s="37"/>
    </row>
    <row r="905" spans="5:9">
      <c r="E905" s="40"/>
      <c r="F905" s="37"/>
      <c r="G905" s="40"/>
      <c r="H905" s="37"/>
      <c r="I905" s="37"/>
    </row>
    <row r="906" spans="5:9">
      <c r="E906" s="37"/>
      <c r="F906" s="37"/>
      <c r="G906" s="37"/>
      <c r="H906" s="37"/>
      <c r="I906" s="37"/>
    </row>
    <row r="907" spans="5:9">
      <c r="E907" s="37"/>
      <c r="F907" s="37"/>
      <c r="G907" s="40"/>
      <c r="H907" s="37"/>
      <c r="I907" s="37"/>
    </row>
    <row r="908" spans="5:9">
      <c r="E908" s="37"/>
      <c r="F908" s="37"/>
      <c r="G908" s="40"/>
      <c r="H908" s="37"/>
      <c r="I908" s="40"/>
    </row>
    <row r="909" spans="5:9">
      <c r="E909" s="37"/>
      <c r="F909" s="37"/>
      <c r="G909" s="37"/>
      <c r="H909" s="37"/>
      <c r="I909" s="37"/>
    </row>
    <row r="910" spans="5:9">
      <c r="E910" s="37"/>
      <c r="F910" s="37"/>
      <c r="G910" s="37"/>
      <c r="H910" s="37"/>
      <c r="I910" s="37"/>
    </row>
    <row r="911" spans="5:9">
      <c r="E911" s="37"/>
      <c r="F911" s="37"/>
      <c r="G911" s="40"/>
      <c r="H911" s="37"/>
      <c r="I911" s="37"/>
    </row>
    <row r="912" spans="5:9">
      <c r="E912" s="37"/>
      <c r="F912" s="37"/>
      <c r="G912" s="40"/>
      <c r="H912" s="37"/>
      <c r="I912" s="37"/>
    </row>
    <row r="913" spans="5:9">
      <c r="E913" s="40"/>
      <c r="F913" s="37"/>
      <c r="G913" s="40"/>
      <c r="H913" s="37"/>
      <c r="I913" s="37"/>
    </row>
    <row r="914" spans="5:9">
      <c r="E914" s="37"/>
      <c r="F914" s="37"/>
      <c r="G914" s="37"/>
      <c r="H914" s="37"/>
      <c r="I914" s="37"/>
    </row>
    <row r="915" spans="5:9">
      <c r="E915" s="37"/>
      <c r="F915" s="37"/>
      <c r="G915" s="37"/>
      <c r="H915" s="37"/>
      <c r="I915" s="37"/>
    </row>
    <row r="916" spans="5:9">
      <c r="E916" s="40"/>
      <c r="F916" s="37"/>
      <c r="G916" s="40"/>
      <c r="H916" s="37"/>
      <c r="I916" s="37"/>
    </row>
    <row r="917" spans="5:9">
      <c r="E917" s="37"/>
      <c r="F917" s="37"/>
      <c r="G917" s="37"/>
      <c r="H917" s="37"/>
      <c r="I917" s="37"/>
    </row>
    <row r="918" spans="5:9">
      <c r="E918" s="37"/>
      <c r="F918" s="37"/>
      <c r="G918" s="40"/>
      <c r="H918" s="37"/>
      <c r="I918" s="37"/>
    </row>
    <row r="919" spans="5:9">
      <c r="E919" s="37"/>
      <c r="F919" s="37"/>
      <c r="G919" s="40"/>
      <c r="H919" s="37"/>
      <c r="I919" s="37"/>
    </row>
    <row r="920" spans="5:9">
      <c r="E920" s="37"/>
      <c r="F920" s="37"/>
      <c r="G920" s="40"/>
      <c r="H920" s="37"/>
      <c r="I920" s="37"/>
    </row>
    <row r="921" spans="5:9">
      <c r="E921" s="37"/>
      <c r="F921" s="37"/>
      <c r="G921" s="40"/>
      <c r="H921" s="37"/>
      <c r="I921" s="37"/>
    </row>
    <row r="922" spans="5:9">
      <c r="E922" s="40"/>
      <c r="F922" s="37"/>
      <c r="G922" s="40"/>
      <c r="H922" s="37"/>
      <c r="I922" s="37"/>
    </row>
    <row r="923" spans="5:9">
      <c r="E923" s="40"/>
      <c r="F923" s="37"/>
      <c r="G923" s="40"/>
      <c r="H923" s="37"/>
      <c r="I923" s="37"/>
    </row>
    <row r="924" spans="5:9">
      <c r="E924" s="37"/>
      <c r="F924" s="37"/>
      <c r="G924" s="40"/>
      <c r="H924" s="37"/>
      <c r="I924" s="37"/>
    </row>
    <row r="925" spans="5:9">
      <c r="E925" s="37"/>
      <c r="F925" s="37"/>
      <c r="G925" s="37"/>
      <c r="H925" s="37"/>
      <c r="I925" s="37"/>
    </row>
    <row r="926" spans="5:9">
      <c r="E926" s="37"/>
      <c r="F926" s="37"/>
      <c r="G926" s="37"/>
      <c r="H926" s="37"/>
      <c r="I926" s="37"/>
    </row>
    <row r="927" spans="5:9">
      <c r="E927" s="37"/>
      <c r="F927" s="37"/>
      <c r="G927" s="37"/>
      <c r="H927" s="37"/>
      <c r="I927" s="37"/>
    </row>
    <row r="928" spans="5:9">
      <c r="E928" s="37"/>
      <c r="F928" s="37"/>
      <c r="G928" s="40"/>
      <c r="H928" s="37"/>
      <c r="I928" s="37"/>
    </row>
    <row r="929" spans="5:9">
      <c r="E929" s="37"/>
      <c r="F929" s="37"/>
      <c r="G929" s="40"/>
      <c r="H929" s="37"/>
      <c r="I929" s="37"/>
    </row>
    <row r="930" spans="5:9">
      <c r="E930" s="37"/>
      <c r="F930" s="37"/>
      <c r="G930" s="37"/>
      <c r="H930" s="37"/>
      <c r="I930" s="37"/>
    </row>
    <row r="931" spans="5:9">
      <c r="E931" s="37"/>
      <c r="F931" s="37"/>
      <c r="G931" s="37"/>
      <c r="H931" s="37"/>
      <c r="I931" s="37"/>
    </row>
    <row r="932" spans="5:9">
      <c r="E932" s="37"/>
      <c r="F932" s="37"/>
      <c r="G932" s="40"/>
      <c r="H932" s="37"/>
      <c r="I932" s="40"/>
    </row>
    <row r="933" spans="5:9">
      <c r="E933" s="37"/>
      <c r="F933" s="37"/>
      <c r="G933" s="37"/>
      <c r="H933" s="37"/>
      <c r="I933" s="37"/>
    </row>
    <row r="934" spans="5:9">
      <c r="E934" s="37"/>
      <c r="F934" s="37"/>
      <c r="G934" s="37"/>
      <c r="H934" s="37"/>
      <c r="I934" s="37"/>
    </row>
    <row r="935" spans="5:9">
      <c r="E935" s="37"/>
      <c r="F935" s="37"/>
      <c r="G935" s="37"/>
      <c r="H935" s="37"/>
      <c r="I935" s="37"/>
    </row>
    <row r="936" spans="5:9">
      <c r="E936" s="37"/>
      <c r="F936" s="37"/>
      <c r="G936" s="40"/>
      <c r="H936" s="37"/>
      <c r="I936" s="37"/>
    </row>
    <row r="937" spans="5:9">
      <c r="E937" s="37"/>
      <c r="F937" s="37"/>
      <c r="G937" s="37"/>
      <c r="H937" s="37"/>
      <c r="I937" s="37"/>
    </row>
    <row r="938" spans="5:9">
      <c r="E938" s="37"/>
      <c r="F938" s="37"/>
      <c r="G938" s="37"/>
      <c r="H938" s="37"/>
      <c r="I938" s="37"/>
    </row>
    <row r="939" spans="5:9">
      <c r="E939" s="37"/>
      <c r="F939" s="37"/>
      <c r="G939" s="40"/>
      <c r="H939" s="37"/>
      <c r="I939" s="37"/>
    </row>
    <row r="940" spans="5:9">
      <c r="E940" s="40"/>
      <c r="F940" s="37"/>
      <c r="G940" s="40"/>
      <c r="H940" s="37"/>
      <c r="I940" s="37"/>
    </row>
    <row r="941" spans="5:9">
      <c r="E941" s="37"/>
      <c r="F941" s="37"/>
      <c r="G941" s="37"/>
      <c r="H941" s="37"/>
      <c r="I941" s="37"/>
    </row>
    <row r="942" spans="5:9">
      <c r="E942" s="37"/>
      <c r="F942" s="37"/>
      <c r="G942" s="40"/>
      <c r="H942" s="37"/>
      <c r="I942" s="37"/>
    </row>
    <row r="943" spans="5:9">
      <c r="E943" s="37"/>
      <c r="F943" s="37"/>
      <c r="G943" s="40"/>
      <c r="H943" s="37"/>
      <c r="I943" s="37"/>
    </row>
    <row r="944" spans="5:9">
      <c r="E944" s="37"/>
      <c r="F944" s="37"/>
      <c r="G944" s="40"/>
      <c r="H944" s="37"/>
      <c r="I944" s="37"/>
    </row>
    <row r="945" spans="5:9">
      <c r="E945" s="37"/>
      <c r="F945" s="37"/>
      <c r="G945" s="40"/>
      <c r="H945" s="37"/>
      <c r="I945" s="37"/>
    </row>
    <row r="946" spans="5:9">
      <c r="E946" s="37"/>
      <c r="F946" s="37"/>
      <c r="G946" s="37"/>
      <c r="H946" s="37"/>
      <c r="I946" s="37"/>
    </row>
    <row r="947" spans="5:9">
      <c r="E947" s="37"/>
      <c r="F947" s="37"/>
      <c r="G947" s="37"/>
      <c r="H947" s="37"/>
      <c r="I947" s="37"/>
    </row>
    <row r="948" spans="5:9">
      <c r="E948" s="37"/>
      <c r="F948" s="37"/>
      <c r="G948" s="40"/>
      <c r="H948" s="37"/>
      <c r="I948" s="40"/>
    </row>
    <row r="949" spans="5:9">
      <c r="E949" s="37"/>
      <c r="F949" s="37"/>
      <c r="G949" s="37"/>
      <c r="H949" s="37"/>
      <c r="I949" s="37"/>
    </row>
    <row r="950" spans="5:9">
      <c r="E950" s="37"/>
      <c r="F950" s="37"/>
      <c r="G950" s="37"/>
      <c r="H950" s="37"/>
      <c r="I950" s="37"/>
    </row>
    <row r="951" spans="5:9">
      <c r="E951" s="37"/>
      <c r="F951" s="37"/>
      <c r="G951" s="40"/>
      <c r="H951" s="37"/>
      <c r="I951" s="37"/>
    </row>
    <row r="952" spans="5:9">
      <c r="E952" s="37"/>
      <c r="F952" s="37"/>
      <c r="G952" s="40"/>
      <c r="H952" s="37"/>
      <c r="I952" s="37"/>
    </row>
    <row r="953" spans="5:9">
      <c r="E953" s="37"/>
      <c r="F953" s="37"/>
      <c r="G953" s="40"/>
      <c r="H953" s="37"/>
      <c r="I953" s="37"/>
    </row>
    <row r="954" spans="5:9">
      <c r="E954" s="37"/>
      <c r="F954" s="37"/>
      <c r="G954" s="40"/>
      <c r="H954" s="37"/>
      <c r="I954" s="37"/>
    </row>
    <row r="955" spans="5:9">
      <c r="E955" s="37"/>
      <c r="F955" s="37"/>
      <c r="G955" s="37"/>
      <c r="H955" s="37"/>
      <c r="I955" s="37"/>
    </row>
    <row r="956" spans="5:9">
      <c r="E956" s="37"/>
      <c r="F956" s="37"/>
      <c r="G956" s="37"/>
      <c r="H956" s="37"/>
      <c r="I956" s="37"/>
    </row>
    <row r="957" spans="5:9">
      <c r="E957" s="37"/>
      <c r="F957" s="37"/>
      <c r="G957" s="40"/>
      <c r="H957" s="37"/>
      <c r="I957" s="37"/>
    </row>
    <row r="958" spans="5:9">
      <c r="E958" s="40"/>
      <c r="F958" s="37"/>
      <c r="G958" s="40"/>
      <c r="H958" s="37"/>
      <c r="I958" s="40"/>
    </row>
    <row r="959" spans="5:9">
      <c r="E959" s="37"/>
      <c r="F959" s="37"/>
      <c r="G959" s="37"/>
      <c r="H959" s="37"/>
      <c r="I959" s="37"/>
    </row>
    <row r="960" spans="5:9">
      <c r="E960" s="37"/>
      <c r="F960" s="37"/>
      <c r="G960" s="40"/>
      <c r="H960" s="37"/>
      <c r="I960" s="37"/>
    </row>
    <row r="961" spans="5:9">
      <c r="E961" s="37"/>
      <c r="F961" s="37"/>
      <c r="G961" s="40"/>
      <c r="H961" s="37"/>
      <c r="I961" s="37"/>
    </row>
    <row r="962" spans="5:9">
      <c r="E962" s="37"/>
      <c r="F962" s="37"/>
      <c r="G962" s="37"/>
      <c r="H962" s="37"/>
      <c r="I962" s="37"/>
    </row>
    <row r="963" spans="5:9">
      <c r="E963" s="40"/>
      <c r="F963" s="37"/>
      <c r="G963" s="40"/>
      <c r="H963" s="37"/>
      <c r="I963" s="37"/>
    </row>
    <row r="964" spans="5:9">
      <c r="E964" s="37"/>
      <c r="F964" s="37"/>
      <c r="G964" s="37"/>
      <c r="H964" s="37"/>
      <c r="I964" s="37"/>
    </row>
    <row r="965" spans="5:9">
      <c r="E965" s="37"/>
      <c r="F965" s="37"/>
      <c r="G965" s="37"/>
      <c r="H965" s="37"/>
      <c r="I965" s="37"/>
    </row>
    <row r="966" spans="5:9">
      <c r="E966" s="40"/>
      <c r="F966" s="37"/>
      <c r="G966" s="40"/>
      <c r="H966" s="37"/>
      <c r="I966" s="37"/>
    </row>
    <row r="967" spans="5:9">
      <c r="E967" s="37"/>
      <c r="F967" s="37"/>
      <c r="G967" s="37"/>
      <c r="H967" s="37"/>
      <c r="I967" s="37"/>
    </row>
    <row r="968" spans="5:9">
      <c r="E968" s="37"/>
      <c r="F968" s="37"/>
      <c r="G968" s="40"/>
      <c r="H968" s="37"/>
      <c r="I968" s="37"/>
    </row>
    <row r="969" spans="5:9">
      <c r="E969" s="37"/>
      <c r="F969" s="37"/>
      <c r="G969" s="40"/>
      <c r="H969" s="37"/>
      <c r="I969" s="37"/>
    </row>
    <row r="970" spans="5:9">
      <c r="E970" s="37"/>
      <c r="F970" s="37"/>
      <c r="G970" s="37"/>
      <c r="H970" s="37"/>
      <c r="I970" s="37"/>
    </row>
    <row r="971" spans="5:9">
      <c r="E971" s="37"/>
      <c r="F971" s="37"/>
      <c r="G971" s="40"/>
      <c r="H971" s="37"/>
      <c r="I971" s="37"/>
    </row>
    <row r="972" spans="5:9">
      <c r="E972" s="40"/>
      <c r="F972" s="37"/>
      <c r="G972" s="40"/>
      <c r="H972" s="37"/>
      <c r="I972" s="37"/>
    </row>
    <row r="973" spans="5:9">
      <c r="E973" s="40"/>
      <c r="F973" s="37"/>
      <c r="G973" s="40"/>
      <c r="H973" s="37"/>
      <c r="I973" s="37"/>
    </row>
    <row r="974" spans="5:9">
      <c r="E974" s="37"/>
      <c r="F974" s="37"/>
      <c r="G974" s="37"/>
      <c r="H974" s="37"/>
      <c r="I974" s="37"/>
    </row>
    <row r="975" spans="5:9">
      <c r="E975" s="37"/>
      <c r="F975" s="37"/>
      <c r="G975" s="37"/>
      <c r="H975" s="37"/>
      <c r="I975" s="37"/>
    </row>
    <row r="976" spans="5:9">
      <c r="E976" s="37"/>
      <c r="F976" s="37"/>
      <c r="G976" s="37"/>
      <c r="H976" s="37"/>
      <c r="I976" s="37"/>
    </row>
    <row r="977" spans="5:9">
      <c r="E977" s="37"/>
      <c r="F977" s="37"/>
      <c r="G977" s="37"/>
      <c r="H977" s="37"/>
      <c r="I977" s="37"/>
    </row>
    <row r="978" spans="5:9">
      <c r="E978" s="37"/>
      <c r="F978" s="37"/>
      <c r="G978" s="37"/>
      <c r="H978" s="37"/>
      <c r="I978" s="37"/>
    </row>
    <row r="979" spans="5:9">
      <c r="E979" s="37"/>
      <c r="F979" s="37"/>
      <c r="G979" s="40"/>
      <c r="H979" s="37"/>
      <c r="I979" s="37"/>
    </row>
    <row r="980" spans="5:9">
      <c r="E980" s="37"/>
      <c r="F980" s="37"/>
      <c r="G980" s="37"/>
      <c r="H980" s="37"/>
      <c r="I980" s="37"/>
    </row>
    <row r="981" spans="5:9">
      <c r="E981" s="37"/>
      <c r="F981" s="37"/>
      <c r="G981" s="37"/>
      <c r="H981" s="37"/>
      <c r="I981" s="37"/>
    </row>
    <row r="982" spans="5:9">
      <c r="E982" s="37"/>
      <c r="F982" s="37"/>
      <c r="G982" s="37"/>
      <c r="H982" s="37"/>
      <c r="I982" s="37"/>
    </row>
    <row r="983" spans="5:9">
      <c r="E983" s="37"/>
      <c r="F983" s="37"/>
      <c r="G983" s="40"/>
      <c r="H983" s="37"/>
      <c r="I983" s="40"/>
    </row>
    <row r="984" spans="5:9">
      <c r="E984" s="37"/>
      <c r="F984" s="37"/>
      <c r="G984" s="37"/>
      <c r="H984" s="37"/>
      <c r="I984" s="37"/>
    </row>
    <row r="985" spans="5:9">
      <c r="E985" s="37"/>
      <c r="F985" s="37"/>
      <c r="G985" s="37"/>
      <c r="H985" s="37"/>
      <c r="I985" s="37"/>
    </row>
    <row r="986" spans="5:9">
      <c r="E986" s="37"/>
      <c r="F986" s="37"/>
      <c r="G986" s="40"/>
      <c r="H986" s="37"/>
      <c r="I986" s="37"/>
    </row>
    <row r="987" spans="5:9">
      <c r="E987" s="37"/>
      <c r="F987" s="37"/>
      <c r="G987" s="37"/>
      <c r="H987" s="37"/>
      <c r="I987" s="37"/>
    </row>
    <row r="988" spans="5:9">
      <c r="E988" s="37"/>
      <c r="F988" s="37"/>
      <c r="G988" s="37"/>
      <c r="H988" s="37"/>
      <c r="I988" s="37"/>
    </row>
    <row r="989" spans="5:9">
      <c r="E989" s="37"/>
      <c r="F989" s="37"/>
      <c r="G989" s="37"/>
      <c r="H989" s="37"/>
      <c r="I989" s="37"/>
    </row>
    <row r="990" spans="5:9">
      <c r="E990" s="37"/>
      <c r="F990" s="37"/>
      <c r="G990" s="37"/>
      <c r="H990" s="37"/>
      <c r="I990" s="37"/>
    </row>
    <row r="991" spans="5:9">
      <c r="E991" s="40"/>
      <c r="F991" s="37"/>
      <c r="G991" s="40"/>
      <c r="H991" s="37"/>
      <c r="I991" s="40"/>
    </row>
    <row r="992" spans="5:9">
      <c r="E992" s="37"/>
      <c r="F992" s="37"/>
      <c r="G992" s="40"/>
      <c r="H992" s="37"/>
      <c r="I992" s="37"/>
    </row>
    <row r="993" spans="5:9">
      <c r="E993" s="37"/>
      <c r="F993" s="37"/>
      <c r="G993" s="40"/>
      <c r="H993" s="37"/>
      <c r="I993" s="37"/>
    </row>
    <row r="994" spans="5:9">
      <c r="E994" s="37"/>
      <c r="F994" s="37"/>
      <c r="G994" s="37"/>
      <c r="H994" s="37"/>
      <c r="I994" s="37"/>
    </row>
    <row r="995" spans="5:9">
      <c r="E995" s="37"/>
      <c r="F995" s="37"/>
      <c r="G995" s="40"/>
      <c r="H995" s="37"/>
      <c r="I995" s="37"/>
    </row>
    <row r="996" spans="5:9">
      <c r="E996" s="37"/>
      <c r="F996" s="37"/>
      <c r="G996" s="40"/>
      <c r="H996" s="37"/>
      <c r="I996" s="37"/>
    </row>
    <row r="997" spans="5:9">
      <c r="E997" s="37"/>
      <c r="F997" s="37"/>
      <c r="G997" s="40"/>
      <c r="H997" s="37"/>
      <c r="I997" s="37"/>
    </row>
    <row r="998" spans="5:9">
      <c r="E998" s="37"/>
      <c r="F998" s="37"/>
      <c r="G998" s="40"/>
      <c r="H998" s="37"/>
      <c r="I998" s="37"/>
    </row>
    <row r="999" spans="5:9">
      <c r="E999" s="37"/>
      <c r="F999" s="37"/>
      <c r="G999" s="40"/>
      <c r="H999" s="37"/>
      <c r="I999" s="37"/>
    </row>
    <row r="1000" spans="5:9">
      <c r="E1000" s="37"/>
      <c r="F1000" s="37"/>
      <c r="G1000" s="37"/>
      <c r="H1000" s="37"/>
      <c r="I1000" s="37"/>
    </row>
    <row r="1001" spans="5:9">
      <c r="E1001" s="37"/>
      <c r="F1001" s="37"/>
      <c r="G1001" s="40"/>
      <c r="H1001" s="37"/>
      <c r="I1001" s="37"/>
    </row>
    <row r="1002" spans="5:9">
      <c r="E1002" s="37"/>
      <c r="F1002" s="37"/>
      <c r="G1002" s="37"/>
      <c r="H1002" s="37"/>
      <c r="I1002" s="37"/>
    </row>
    <row r="1003" spans="5:9">
      <c r="E1003" s="37"/>
      <c r="F1003" s="37"/>
      <c r="G1003" s="37"/>
      <c r="H1003" s="37"/>
      <c r="I1003" s="37"/>
    </row>
    <row r="1004" spans="5:9">
      <c r="E1004" s="37"/>
      <c r="F1004" s="37"/>
      <c r="G1004" s="40"/>
      <c r="H1004" s="37"/>
      <c r="I1004" s="37"/>
    </row>
    <row r="1005" spans="5:9">
      <c r="E1005" s="37"/>
      <c r="F1005" s="37"/>
      <c r="G1005" s="37"/>
      <c r="H1005" s="37"/>
      <c r="I1005" s="37"/>
    </row>
    <row r="1006" spans="5:9">
      <c r="E1006" s="37"/>
      <c r="F1006" s="37"/>
      <c r="G1006" s="37"/>
      <c r="H1006" s="37"/>
      <c r="I1006" s="37"/>
    </row>
    <row r="1007" spans="5:9">
      <c r="E1007" s="37"/>
      <c r="F1007" s="37"/>
      <c r="G1007" s="37"/>
      <c r="H1007" s="37"/>
      <c r="I1007" s="37"/>
    </row>
    <row r="1008" spans="5:9">
      <c r="E1008" s="37"/>
      <c r="F1008" s="37"/>
      <c r="G1008" s="37"/>
      <c r="H1008" s="37"/>
      <c r="I1008" s="37"/>
    </row>
    <row r="1009" spans="5:9">
      <c r="E1009" s="37"/>
      <c r="F1009" s="37"/>
      <c r="G1009" s="40"/>
      <c r="H1009" s="37"/>
      <c r="I1009" s="40"/>
    </row>
    <row r="1010" spans="5:9">
      <c r="E1010" s="37"/>
      <c r="F1010" s="37"/>
      <c r="G1010" s="37"/>
      <c r="H1010" s="37"/>
      <c r="I1010" s="37"/>
    </row>
    <row r="1011" spans="5:9">
      <c r="E1011" s="37"/>
      <c r="F1011" s="37"/>
      <c r="G1011" s="40"/>
      <c r="H1011" s="37"/>
      <c r="I1011" s="37"/>
    </row>
    <row r="1012" spans="5:9">
      <c r="E1012" s="37"/>
      <c r="F1012" s="37"/>
      <c r="G1012" s="40"/>
      <c r="H1012" s="37"/>
      <c r="I1012" s="37"/>
    </row>
    <row r="1013" spans="5:9">
      <c r="E1013" s="37"/>
      <c r="F1013" s="37"/>
      <c r="G1013" s="40"/>
      <c r="H1013" s="37"/>
      <c r="I1013" s="37"/>
    </row>
    <row r="1014" spans="5:9">
      <c r="E1014" s="40"/>
      <c r="F1014" s="37"/>
      <c r="G1014" s="40"/>
      <c r="H1014" s="37"/>
      <c r="I1014" s="37"/>
    </row>
    <row r="1015" spans="5:9">
      <c r="E1015" s="37"/>
      <c r="F1015" s="37"/>
      <c r="G1015" s="37"/>
      <c r="H1015" s="37"/>
      <c r="I1015" s="37"/>
    </row>
    <row r="1016" spans="5:9">
      <c r="E1016" s="37"/>
      <c r="F1016" s="37"/>
      <c r="G1016" s="40"/>
      <c r="H1016" s="37"/>
      <c r="I1016" s="37"/>
    </row>
    <row r="1017" spans="5:9">
      <c r="E1017" s="40"/>
      <c r="F1017" s="37"/>
      <c r="G1017" s="40"/>
      <c r="H1017" s="37"/>
      <c r="I1017" s="37"/>
    </row>
    <row r="1018" spans="5:9">
      <c r="E1018" s="37"/>
      <c r="F1018" s="37"/>
      <c r="G1018" s="37"/>
      <c r="H1018" s="37"/>
      <c r="I1018" s="37"/>
    </row>
    <row r="1019" spans="5:9">
      <c r="E1019" s="37"/>
      <c r="F1019" s="37"/>
      <c r="G1019" s="40"/>
      <c r="H1019" s="37"/>
      <c r="I1019" s="40"/>
    </row>
    <row r="1020" spans="5:9">
      <c r="E1020" s="37"/>
      <c r="F1020" s="37"/>
      <c r="G1020" s="37"/>
      <c r="H1020" s="37"/>
      <c r="I1020" s="37"/>
    </row>
    <row r="1021" spans="5:9">
      <c r="E1021" s="37"/>
      <c r="F1021" s="37"/>
      <c r="G1021" s="37"/>
      <c r="H1021" s="37"/>
      <c r="I1021" s="37"/>
    </row>
    <row r="1022" spans="5:9">
      <c r="E1022" s="37"/>
      <c r="F1022" s="37"/>
      <c r="G1022" s="37"/>
      <c r="H1022" s="37"/>
      <c r="I1022" s="37"/>
    </row>
    <row r="1023" spans="5:9">
      <c r="E1023" s="40"/>
      <c r="F1023" s="37"/>
      <c r="G1023" s="37"/>
      <c r="H1023" s="37"/>
      <c r="I1023" s="37"/>
    </row>
    <row r="1024" spans="5:9">
      <c r="E1024" s="37"/>
      <c r="F1024" s="37"/>
      <c r="G1024" s="37"/>
      <c r="H1024" s="37"/>
      <c r="I1024" s="37"/>
    </row>
    <row r="1025" spans="5:9">
      <c r="E1025" s="37"/>
      <c r="F1025" s="37"/>
      <c r="G1025" s="40"/>
      <c r="H1025" s="37"/>
      <c r="I1025" s="37"/>
    </row>
    <row r="1026" spans="5:9">
      <c r="E1026" s="37"/>
      <c r="F1026" s="37"/>
      <c r="G1026" s="37"/>
      <c r="H1026" s="37"/>
      <c r="I1026" s="37"/>
    </row>
    <row r="1027" spans="5:9">
      <c r="E1027" s="37"/>
      <c r="F1027" s="37"/>
      <c r="G1027" s="37"/>
      <c r="H1027" s="37"/>
      <c r="I1027" s="37"/>
    </row>
    <row r="1028" spans="5:9">
      <c r="E1028" s="37"/>
      <c r="F1028" s="37"/>
      <c r="G1028" s="37"/>
      <c r="H1028" s="37"/>
      <c r="I1028" s="37"/>
    </row>
    <row r="1029" spans="5:9">
      <c r="E1029" s="37"/>
      <c r="F1029" s="37"/>
      <c r="G1029" s="40"/>
      <c r="H1029" s="37"/>
      <c r="I1029" s="37"/>
    </row>
    <row r="1030" spans="5:9">
      <c r="E1030" s="37"/>
      <c r="F1030" s="37"/>
      <c r="G1030" s="37"/>
      <c r="H1030" s="37"/>
      <c r="I1030" s="37"/>
    </row>
    <row r="1031" spans="5:9">
      <c r="E1031" s="37"/>
      <c r="F1031" s="37"/>
      <c r="G1031" s="37"/>
      <c r="H1031" s="37"/>
      <c r="I1031" s="37"/>
    </row>
    <row r="1032" spans="5:9">
      <c r="E1032" s="37"/>
      <c r="F1032" s="37"/>
      <c r="G1032" s="37"/>
      <c r="H1032" s="37"/>
      <c r="I1032" s="37"/>
    </row>
    <row r="1033" spans="5:9">
      <c r="E1033" s="37"/>
      <c r="F1033" s="37"/>
      <c r="G1033" s="37"/>
      <c r="H1033" s="37"/>
      <c r="I1033" s="37"/>
    </row>
    <row r="1034" spans="5:9">
      <c r="E1034" s="37"/>
      <c r="F1034" s="37"/>
      <c r="G1034" s="40"/>
      <c r="H1034" s="37"/>
      <c r="I1034" s="37"/>
    </row>
    <row r="1035" spans="5:9">
      <c r="E1035" s="37"/>
      <c r="F1035" s="37"/>
      <c r="G1035" s="37"/>
      <c r="H1035" s="37"/>
      <c r="I1035" s="37"/>
    </row>
    <row r="1036" spans="5:9">
      <c r="E1036" s="37"/>
      <c r="F1036" s="37"/>
      <c r="G1036" s="37"/>
      <c r="H1036" s="37"/>
      <c r="I1036" s="37"/>
    </row>
    <row r="1037" spans="5:9">
      <c r="E1037" s="37"/>
      <c r="F1037" s="37"/>
      <c r="G1037" s="37"/>
      <c r="H1037" s="37"/>
      <c r="I1037" s="37"/>
    </row>
    <row r="1038" spans="5:9">
      <c r="E1038" s="37"/>
      <c r="F1038" s="37"/>
      <c r="G1038" s="37"/>
      <c r="H1038" s="37"/>
      <c r="I1038" s="37"/>
    </row>
    <row r="1039" spans="5:9">
      <c r="E1039" s="37"/>
      <c r="F1039" s="37"/>
      <c r="G1039" s="37"/>
      <c r="H1039" s="37"/>
      <c r="I1039" s="37"/>
    </row>
    <row r="1040" spans="5:9">
      <c r="E1040" s="37"/>
      <c r="F1040" s="37"/>
      <c r="G1040" s="37"/>
      <c r="H1040" s="37"/>
      <c r="I1040" s="37"/>
    </row>
    <row r="1041" spans="5:9">
      <c r="E1041" s="37"/>
      <c r="F1041" s="37"/>
      <c r="G1041" s="37"/>
      <c r="H1041" s="37"/>
      <c r="I1041" s="37"/>
    </row>
    <row r="1042" spans="5:9">
      <c r="E1042" s="40"/>
      <c r="F1042" s="37"/>
      <c r="G1042" s="40"/>
      <c r="H1042" s="37"/>
      <c r="I1042" s="40"/>
    </row>
    <row r="1043" spans="5:9">
      <c r="E1043" s="37"/>
      <c r="F1043" s="37"/>
      <c r="G1043" s="37"/>
      <c r="H1043" s="37"/>
      <c r="I1043" s="37"/>
    </row>
    <row r="1044" spans="5:9">
      <c r="E1044" s="37"/>
      <c r="F1044" s="37"/>
      <c r="G1044" s="40"/>
      <c r="H1044" s="37"/>
      <c r="I1044" s="37"/>
    </row>
    <row r="1045" spans="5:9">
      <c r="E1045" s="37"/>
      <c r="F1045" s="37"/>
      <c r="G1045" s="37"/>
      <c r="H1045" s="37"/>
      <c r="I1045" s="37"/>
    </row>
    <row r="1046" spans="5:9">
      <c r="E1046" s="37"/>
      <c r="F1046" s="37"/>
      <c r="G1046" s="40"/>
      <c r="H1046" s="37"/>
      <c r="I1046" s="37"/>
    </row>
    <row r="1047" spans="5:9">
      <c r="E1047" s="37"/>
      <c r="F1047" s="37"/>
      <c r="G1047" s="40"/>
      <c r="H1047" s="37"/>
      <c r="I1047" s="37"/>
    </row>
    <row r="1048" spans="5:9">
      <c r="E1048" s="37"/>
      <c r="F1048" s="37"/>
      <c r="G1048" s="40"/>
      <c r="H1048" s="37"/>
      <c r="I1048" s="37"/>
    </row>
    <row r="1049" spans="5:9">
      <c r="E1049" s="37"/>
      <c r="F1049" s="37"/>
      <c r="G1049" s="37"/>
      <c r="H1049" s="37"/>
      <c r="I1049" s="37"/>
    </row>
    <row r="1050" spans="5:9">
      <c r="E1050" s="37"/>
      <c r="F1050" s="37"/>
      <c r="G1050" s="40"/>
      <c r="H1050" s="37"/>
      <c r="I1050" s="37"/>
    </row>
    <row r="1051" spans="5:9">
      <c r="E1051" s="37"/>
      <c r="F1051" s="37"/>
      <c r="G1051" s="37"/>
      <c r="H1051" s="37"/>
      <c r="I1051" s="37"/>
    </row>
    <row r="1052" spans="5:9">
      <c r="E1052" s="37"/>
      <c r="F1052" s="37"/>
      <c r="G1052" s="40"/>
      <c r="H1052" s="37"/>
      <c r="I1052" s="40"/>
    </row>
    <row r="1053" spans="5:9">
      <c r="E1053" s="37"/>
      <c r="F1053" s="37"/>
      <c r="G1053" s="37"/>
      <c r="H1053" s="37"/>
      <c r="I1053" s="37"/>
    </row>
    <row r="1054" spans="5:9">
      <c r="E1054" s="37"/>
      <c r="F1054" s="37"/>
      <c r="G1054" s="37"/>
      <c r="H1054" s="37"/>
      <c r="I1054" s="37"/>
    </row>
    <row r="1055" spans="5:9">
      <c r="E1055" s="37"/>
      <c r="F1055" s="37"/>
      <c r="G1055" s="40"/>
      <c r="H1055" s="37"/>
      <c r="I1055" s="37"/>
    </row>
    <row r="1056" spans="5:9">
      <c r="E1056" s="37"/>
      <c r="F1056" s="37"/>
      <c r="G1056" s="40"/>
      <c r="H1056" s="37"/>
      <c r="I1056" s="37"/>
    </row>
    <row r="1057" spans="5:9">
      <c r="E1057" s="37"/>
      <c r="F1057" s="37"/>
      <c r="G1057" s="40"/>
      <c r="H1057" s="37"/>
      <c r="I1057" s="37"/>
    </row>
    <row r="1058" spans="5:9">
      <c r="E1058" s="37"/>
      <c r="F1058" s="37"/>
      <c r="G1058" s="37"/>
      <c r="H1058" s="37"/>
      <c r="I1058" s="37"/>
    </row>
    <row r="1059" spans="5:9">
      <c r="E1059" s="37"/>
      <c r="F1059" s="37"/>
      <c r="G1059" s="40"/>
      <c r="H1059" s="37"/>
      <c r="I1059" s="37"/>
    </row>
    <row r="1060" spans="5:9">
      <c r="E1060" s="37"/>
      <c r="F1060" s="37"/>
      <c r="G1060" s="40"/>
      <c r="H1060" s="37"/>
      <c r="I1060" s="40"/>
    </row>
    <row r="1061" spans="5:9">
      <c r="E1061" s="37"/>
      <c r="F1061" s="37"/>
      <c r="G1061" s="37"/>
      <c r="H1061" s="37"/>
      <c r="I1061" s="37"/>
    </row>
    <row r="1062" spans="5:9">
      <c r="E1062" s="37"/>
      <c r="F1062" s="37"/>
      <c r="G1062" s="40"/>
      <c r="H1062" s="37"/>
      <c r="I1062" s="40"/>
    </row>
    <row r="1063" spans="5:9">
      <c r="E1063" s="37"/>
      <c r="F1063" s="37"/>
      <c r="G1063" s="40"/>
      <c r="H1063" s="37"/>
      <c r="I1063" s="40"/>
    </row>
    <row r="1064" spans="5:9">
      <c r="E1064" s="37"/>
      <c r="F1064" s="37"/>
      <c r="G1064" s="40"/>
      <c r="H1064" s="37"/>
      <c r="I1064" s="40"/>
    </row>
    <row r="1065" spans="5:9">
      <c r="E1065" s="40"/>
      <c r="F1065" s="37"/>
      <c r="G1065" s="37"/>
      <c r="H1065" s="37"/>
      <c r="I1065" s="37"/>
    </row>
    <row r="1066" spans="5:9">
      <c r="E1066" s="37"/>
      <c r="F1066" s="37"/>
      <c r="G1066" s="37"/>
      <c r="H1066" s="37"/>
      <c r="I1066" s="37"/>
    </row>
    <row r="1067" spans="5:9">
      <c r="E1067" s="37"/>
      <c r="F1067" s="37"/>
      <c r="G1067" s="40"/>
      <c r="H1067" s="37"/>
      <c r="I1067" s="37"/>
    </row>
    <row r="1068" spans="5:9">
      <c r="E1068" s="40"/>
      <c r="F1068" s="37"/>
      <c r="G1068" s="40"/>
      <c r="H1068" s="37"/>
      <c r="I1068" s="40"/>
    </row>
    <row r="1069" spans="5:9">
      <c r="E1069" s="37"/>
      <c r="F1069" s="37"/>
      <c r="G1069" s="37"/>
      <c r="H1069" s="37"/>
      <c r="I1069" s="37"/>
    </row>
    <row r="1070" spans="5:9">
      <c r="E1070" s="37"/>
      <c r="F1070" s="37"/>
      <c r="G1070" s="37"/>
      <c r="H1070" s="37"/>
      <c r="I1070" s="37"/>
    </row>
    <row r="1071" spans="5:9">
      <c r="E1071" s="37"/>
      <c r="F1071" s="37"/>
      <c r="G1071" s="40"/>
      <c r="H1071" s="37"/>
      <c r="I1071" s="37"/>
    </row>
    <row r="1072" spans="5:9">
      <c r="E1072" s="37"/>
      <c r="F1072" s="37"/>
      <c r="G1072" s="37"/>
      <c r="H1072" s="37"/>
      <c r="I1072" s="37"/>
    </row>
    <row r="1073" spans="5:9">
      <c r="E1073" s="37"/>
      <c r="F1073" s="37"/>
      <c r="G1073" s="37"/>
      <c r="H1073" s="37"/>
      <c r="I1073" s="37"/>
    </row>
    <row r="1074" spans="5:9">
      <c r="E1074" s="37"/>
      <c r="F1074" s="37"/>
      <c r="G1074" s="40"/>
      <c r="H1074" s="37"/>
      <c r="I1074" s="37"/>
    </row>
    <row r="1075" spans="5:9">
      <c r="E1075" s="37"/>
      <c r="F1075" s="37"/>
      <c r="G1075" s="37"/>
      <c r="H1075" s="37"/>
      <c r="I1075" s="37"/>
    </row>
    <row r="1076" spans="5:9">
      <c r="E1076" s="37"/>
      <c r="F1076" s="37"/>
      <c r="G1076" s="40"/>
      <c r="H1076" s="37"/>
      <c r="I1076" s="37"/>
    </row>
    <row r="1077" spans="5:9">
      <c r="E1077" s="37"/>
      <c r="F1077" s="37"/>
      <c r="G1077" s="37"/>
      <c r="H1077" s="37"/>
      <c r="I1077" s="37"/>
    </row>
    <row r="1078" spans="5:9">
      <c r="E1078" s="37"/>
      <c r="F1078" s="37"/>
      <c r="G1078" s="37"/>
      <c r="H1078" s="37"/>
      <c r="I1078" s="37"/>
    </row>
    <row r="1079" spans="5:9">
      <c r="E1079" s="37"/>
      <c r="F1079" s="37"/>
      <c r="G1079" s="40"/>
      <c r="H1079" s="37"/>
      <c r="I1079" s="40"/>
    </row>
    <row r="1080" spans="5:9">
      <c r="E1080" s="37"/>
      <c r="F1080" s="37"/>
      <c r="G1080" s="37"/>
      <c r="H1080" s="37"/>
      <c r="I1080" s="37"/>
    </row>
    <row r="1081" spans="5:9">
      <c r="E1081" s="37"/>
      <c r="F1081" s="37"/>
      <c r="G1081" s="40"/>
      <c r="H1081" s="37"/>
      <c r="I1081" s="37"/>
    </row>
    <row r="1082" spans="5:9">
      <c r="E1082" s="37"/>
      <c r="F1082" s="37"/>
      <c r="G1082" s="40"/>
      <c r="H1082" s="37"/>
      <c r="I1082" s="37"/>
    </row>
    <row r="1083" spans="5:9">
      <c r="E1083" s="37"/>
      <c r="F1083" s="37"/>
      <c r="G1083" s="37"/>
      <c r="H1083" s="37"/>
      <c r="I1083" s="37"/>
    </row>
    <row r="1084" spans="5:9">
      <c r="E1084" s="37"/>
      <c r="F1084" s="37"/>
      <c r="G1084" s="40"/>
      <c r="H1084" s="37"/>
      <c r="I1084" s="37"/>
    </row>
    <row r="1085" spans="5:9">
      <c r="E1085" s="37"/>
      <c r="F1085" s="37"/>
      <c r="G1085" s="37"/>
      <c r="H1085" s="37"/>
      <c r="I1085" s="40"/>
    </row>
    <row r="1086" spans="5:9">
      <c r="E1086" s="37"/>
      <c r="F1086" s="37"/>
      <c r="G1086" s="40"/>
      <c r="H1086" s="37"/>
      <c r="I1086" s="37"/>
    </row>
    <row r="1087" spans="5:9">
      <c r="E1087" s="37"/>
      <c r="F1087" s="37"/>
      <c r="G1087" s="37"/>
      <c r="H1087" s="37"/>
      <c r="I1087" s="37"/>
    </row>
    <row r="1088" spans="5:9">
      <c r="E1088" s="37"/>
      <c r="F1088" s="37"/>
      <c r="G1088" s="37"/>
      <c r="H1088" s="37"/>
      <c r="I1088" s="37"/>
    </row>
    <row r="1089" spans="5:9">
      <c r="E1089" s="37"/>
      <c r="F1089" s="37"/>
      <c r="G1089" s="40"/>
      <c r="H1089" s="37"/>
      <c r="I1089" s="37"/>
    </row>
    <row r="1090" spans="5:9">
      <c r="E1090" s="37"/>
      <c r="F1090" s="37"/>
      <c r="G1090" s="37"/>
      <c r="H1090" s="37"/>
      <c r="I1090" s="37"/>
    </row>
    <row r="1091" spans="5:9">
      <c r="E1091" s="37"/>
      <c r="F1091" s="37"/>
      <c r="G1091" s="37"/>
      <c r="H1091" s="37"/>
      <c r="I1091" s="37"/>
    </row>
    <row r="1092" spans="5:9">
      <c r="E1092" s="37"/>
      <c r="F1092" s="37"/>
      <c r="G1092" s="37"/>
      <c r="H1092" s="37"/>
      <c r="I1092" s="37"/>
    </row>
    <row r="1093" spans="5:9">
      <c r="E1093" s="40"/>
      <c r="F1093" s="37"/>
      <c r="G1093" s="40"/>
      <c r="H1093" s="37"/>
      <c r="I1093" s="40"/>
    </row>
    <row r="1094" spans="5:9">
      <c r="E1094" s="37"/>
      <c r="F1094" s="37"/>
      <c r="G1094" s="37"/>
      <c r="H1094" s="37"/>
      <c r="I1094" s="37"/>
    </row>
    <row r="1095" spans="5:9">
      <c r="E1095" s="37"/>
      <c r="F1095" s="37"/>
      <c r="G1095" s="37"/>
      <c r="H1095" s="37"/>
      <c r="I1095" s="37"/>
    </row>
    <row r="1096" spans="5:9">
      <c r="E1096" s="37"/>
      <c r="F1096" s="37"/>
      <c r="G1096" s="37"/>
      <c r="H1096" s="37"/>
      <c r="I1096" s="37"/>
    </row>
    <row r="1097" spans="5:9">
      <c r="E1097" s="37"/>
      <c r="F1097" s="37"/>
      <c r="G1097" s="40"/>
      <c r="H1097" s="37"/>
      <c r="I1097" s="40"/>
    </row>
    <row r="1098" spans="5:9">
      <c r="E1098" s="37"/>
      <c r="F1098" s="37"/>
      <c r="G1098" s="40"/>
      <c r="H1098" s="37"/>
      <c r="I1098" s="37"/>
    </row>
    <row r="1099" spans="5:9">
      <c r="E1099" s="37"/>
      <c r="F1099" s="37"/>
      <c r="G1099" s="40"/>
      <c r="H1099" s="37"/>
      <c r="I1099" s="37"/>
    </row>
    <row r="1100" spans="5:9">
      <c r="E1100" s="37"/>
      <c r="F1100" s="37"/>
      <c r="G1100" s="37"/>
      <c r="H1100" s="37"/>
      <c r="I1100" s="37"/>
    </row>
    <row r="1101" spans="5:9">
      <c r="E1101" s="37"/>
      <c r="F1101" s="37"/>
      <c r="G1101" s="40"/>
      <c r="H1101" s="37"/>
      <c r="I1101" s="40"/>
    </row>
    <row r="1102" spans="5:9">
      <c r="E1102" s="37"/>
      <c r="F1102" s="37"/>
      <c r="G1102" s="37"/>
      <c r="H1102" s="37"/>
      <c r="I1102" s="37"/>
    </row>
    <row r="1103" spans="5:9">
      <c r="E1103" s="37"/>
      <c r="F1103" s="37"/>
      <c r="G1103" s="40"/>
      <c r="H1103" s="37"/>
      <c r="I1103" s="40"/>
    </row>
    <row r="1104" spans="5:9">
      <c r="E1104" s="37"/>
      <c r="F1104" s="37"/>
      <c r="G1104" s="37"/>
      <c r="H1104" s="37"/>
      <c r="I1104" s="37"/>
    </row>
    <row r="1105" spans="5:9">
      <c r="E1105" s="37"/>
      <c r="F1105" s="37"/>
      <c r="G1105" s="40"/>
      <c r="H1105" s="37"/>
      <c r="I1105" s="37"/>
    </row>
    <row r="1106" spans="5:9">
      <c r="E1106" s="37"/>
      <c r="F1106" s="37"/>
      <c r="G1106" s="37"/>
      <c r="H1106" s="37"/>
      <c r="I1106" s="37"/>
    </row>
    <row r="1107" spans="5:9">
      <c r="E1107" s="37"/>
      <c r="F1107" s="37"/>
      <c r="G1107" s="40"/>
      <c r="H1107" s="37"/>
      <c r="I1107" s="37"/>
    </row>
    <row r="1108" spans="5:9">
      <c r="E1108" s="37"/>
      <c r="F1108" s="37"/>
      <c r="G1108" s="37"/>
      <c r="H1108" s="37"/>
      <c r="I1108" s="37"/>
    </row>
    <row r="1109" spans="5:9">
      <c r="E1109" s="37"/>
      <c r="F1109" s="37"/>
      <c r="G1109" s="40"/>
      <c r="H1109" s="37"/>
      <c r="I1109" s="37"/>
    </row>
    <row r="1110" spans="5:9">
      <c r="E1110" s="37"/>
      <c r="F1110" s="37"/>
      <c r="G1110" s="40"/>
      <c r="H1110" s="37"/>
      <c r="I1110" s="40"/>
    </row>
    <row r="1111" spans="5:9">
      <c r="E1111" s="37"/>
      <c r="F1111" s="37"/>
      <c r="G1111" s="37"/>
      <c r="H1111" s="37"/>
      <c r="I1111" s="37"/>
    </row>
    <row r="1112" spans="5:9">
      <c r="E1112" s="37"/>
      <c r="F1112" s="37"/>
      <c r="G1112" s="37"/>
      <c r="H1112" s="37"/>
      <c r="I1112" s="37"/>
    </row>
    <row r="1113" spans="5:9">
      <c r="E1113" s="40"/>
      <c r="F1113" s="37"/>
      <c r="G1113" s="40"/>
      <c r="H1113" s="37"/>
      <c r="I1113" s="40"/>
    </row>
    <row r="1114" spans="5:9">
      <c r="E1114" s="37"/>
      <c r="F1114" s="37"/>
      <c r="G1114" s="40"/>
      <c r="H1114" s="37"/>
      <c r="I1114" s="40"/>
    </row>
    <row r="1115" spans="5:9">
      <c r="E1115" s="37"/>
      <c r="F1115" s="37"/>
      <c r="G1115" s="37"/>
      <c r="H1115" s="37"/>
      <c r="I1115" s="37"/>
    </row>
    <row r="1116" spans="5:9">
      <c r="E1116" s="40"/>
      <c r="F1116" s="37"/>
      <c r="G1116" s="37"/>
      <c r="H1116" s="37"/>
      <c r="I1116" s="37"/>
    </row>
    <row r="1117" spans="5:9">
      <c r="E1117" s="37"/>
      <c r="F1117" s="37"/>
      <c r="G1117" s="37"/>
      <c r="H1117" s="37"/>
      <c r="I1117" s="37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140A-0329-46A2-9781-E56D11414DDC}">
  <sheetPr codeName="Sheet8">
    <tabColor theme="7" tint="0.79998168889431442"/>
  </sheetPr>
  <dimension ref="B1:V91"/>
  <sheetViews>
    <sheetView showGridLines="0" zoomScale="85" zoomScaleNormal="85" workbookViewId="0">
      <pane ySplit="5" topLeftCell="A29" activePane="bottomLeft" state="frozen"/>
      <selection activeCell="K66" sqref="K66"/>
      <selection pane="bottomLeft" activeCell="K66" sqref="K66"/>
    </sheetView>
  </sheetViews>
  <sheetFormatPr defaultColWidth="11.625" defaultRowHeight="13.5"/>
  <cols>
    <col min="1" max="1" width="4.375" style="24" customWidth="1"/>
    <col min="2" max="2" width="28.25" style="24" customWidth="1"/>
    <col min="3" max="10" width="11.625" style="24" customWidth="1"/>
    <col min="11" max="16384" width="11.625" style="24"/>
  </cols>
  <sheetData>
    <row r="1" spans="2:22" s="1" customFormat="1"/>
    <row r="2" spans="2:22" s="1" customFormat="1" ht="32.25" customHeight="1" thickBot="1">
      <c r="B2" s="241" t="s">
        <v>356</v>
      </c>
      <c r="C2" s="241"/>
      <c r="D2" s="241"/>
      <c r="E2" s="241"/>
      <c r="F2" s="241"/>
      <c r="G2" s="241"/>
      <c r="H2" s="241"/>
      <c r="I2" s="241"/>
      <c r="J2" s="241"/>
    </row>
    <row r="3" spans="2:22" s="1" customFormat="1" ht="14.25" thickTop="1"/>
    <row r="4" spans="2:22" s="84" customFormat="1" ht="33">
      <c r="B4" s="82" t="str">
        <f>파워링크_Summary!B4</f>
        <v>구분
(1/1~1/31)</v>
      </c>
      <c r="C4" s="83" t="s">
        <v>2</v>
      </c>
      <c r="D4" s="83" t="s">
        <v>4</v>
      </c>
      <c r="E4" s="82" t="s">
        <v>60</v>
      </c>
      <c r="F4" s="82" t="s">
        <v>45</v>
      </c>
    </row>
    <row r="5" spans="2:22" s="84" customFormat="1" ht="16.5">
      <c r="B5" s="85" t="s">
        <v>5</v>
      </c>
      <c r="C5" s="86">
        <f>C54</f>
        <v>0</v>
      </c>
      <c r="D5" s="86">
        <f>D54</f>
        <v>0</v>
      </c>
      <c r="E5" s="86">
        <f>G54</f>
        <v>0</v>
      </c>
      <c r="F5" s="86">
        <f>H54</f>
        <v>0</v>
      </c>
    </row>
    <row r="6" spans="2:22" s="1" customFormat="1">
      <c r="B6" s="43"/>
    </row>
    <row r="7" spans="2:22" s="1" customFormat="1">
      <c r="B7" s="5" t="s">
        <v>6</v>
      </c>
    </row>
    <row r="8" spans="2:22" s="1" customFormat="1" ht="5.25" customHeight="1">
      <c r="B8" s="5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2:22" s="1" customFormat="1" ht="13.5" customHeight="1">
      <c r="B9" s="5"/>
      <c r="K9" s="41"/>
    </row>
    <row r="10" spans="2:22" s="1" customFormat="1" ht="13.5" customHeight="1">
      <c r="B10" s="5"/>
      <c r="K10" s="41"/>
    </row>
    <row r="11" spans="2:22" s="1" customFormat="1" ht="13.5" customHeight="1">
      <c r="B11" s="5"/>
      <c r="K11" s="41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2:22" s="1" customFormat="1" ht="13.5" customHeight="1">
      <c r="B12" s="5"/>
      <c r="K12" s="41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2:22" s="1" customFormat="1" ht="13.5" customHeight="1">
      <c r="B13" s="5"/>
      <c r="K13" s="41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2:22" s="1" customFormat="1" ht="13.5" customHeight="1">
      <c r="K14" s="41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</row>
    <row r="15" spans="2:22" s="1" customFormat="1" ht="13.5" customHeight="1">
      <c r="K15" s="41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</row>
    <row r="16" spans="2:22" s="1" customFormat="1" ht="13.5" customHeight="1">
      <c r="K16" s="41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</row>
    <row r="17" spans="2:22" s="1" customFormat="1" ht="13.5" customHeight="1">
      <c r="K17" s="41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2:22" s="1" customFormat="1" ht="13.5" customHeight="1">
      <c r="K18" s="41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2:22" s="1" customFormat="1" ht="13.5" customHeight="1">
      <c r="K19" s="41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2:22" s="1" customFormat="1" ht="13.5" customHeight="1">
      <c r="K20" s="41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2:22" s="1" customFormat="1" ht="13.5" customHeight="1">
      <c r="K21" s="41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</row>
    <row r="22" spans="2:22" s="1" customFormat="1" ht="13.5" customHeight="1">
      <c r="K22" s="41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</row>
    <row r="23" spans="2:22" s="1" customFormat="1" ht="13.5" customHeight="1">
      <c r="K23" s="41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2:22" s="1" customFormat="1" ht="13.5" customHeight="1">
      <c r="K24" s="41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2:22" s="1" customFormat="1" ht="13.5" customHeight="1">
      <c r="K25" s="41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</row>
    <row r="26" spans="2:22" s="1" customFormat="1" ht="13.5" customHeight="1">
      <c r="K26" s="41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2:22" s="1" customFormat="1" ht="14.25" customHeight="1">
      <c r="K27" s="41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spans="2:22" s="1" customFormat="1" ht="13.5" customHeight="1"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2:22" s="1" customFormat="1" ht="13.5" customHeight="1"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</row>
    <row r="30" spans="2:22" s="1" customFormat="1" ht="13.5" customHeight="1"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</row>
    <row r="31" spans="2:22" s="1" customFormat="1" ht="13.5" customHeight="1"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2:22" s="1" customFormat="1" ht="13.5" customHeight="1">
      <c r="B32" s="5" t="s">
        <v>7</v>
      </c>
      <c r="K32" s="3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2:22" s="1" customFormat="1" ht="13.5" customHeight="1">
      <c r="B33" s="204" t="s">
        <v>57</v>
      </c>
      <c r="C33" s="206" t="s">
        <v>8</v>
      </c>
      <c r="D33" s="206" t="s">
        <v>9</v>
      </c>
      <c r="E33" s="206" t="s">
        <v>58</v>
      </c>
      <c r="F33" s="206" t="s">
        <v>11</v>
      </c>
      <c r="G33" s="206" t="s">
        <v>12</v>
      </c>
      <c r="H33" s="207" t="s">
        <v>13</v>
      </c>
      <c r="I33" s="208"/>
      <c r="J33" s="208"/>
      <c r="K33" s="42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2:22" s="1" customFormat="1" ht="13.5" customHeight="1">
      <c r="B34" s="204"/>
      <c r="C34" s="206"/>
      <c r="D34" s="206"/>
      <c r="E34" s="206"/>
      <c r="F34" s="206"/>
      <c r="G34" s="206"/>
      <c r="H34" s="6" t="s">
        <v>43</v>
      </c>
      <c r="I34" s="7" t="s">
        <v>59</v>
      </c>
      <c r="J34" s="29" t="s">
        <v>44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 spans="2:22" s="1" customFormat="1" ht="13.5" customHeight="1">
      <c r="B35" s="4" t="str">
        <f>파워링크_Summary!B35</f>
        <v>1월 1주차 (1~4일)</v>
      </c>
      <c r="C35" s="2">
        <f>SUM(C55:C61)</f>
        <v>0</v>
      </c>
      <c r="D35" s="2">
        <f>SUM(D55:D61)</f>
        <v>0</v>
      </c>
      <c r="E35" s="8">
        <f t="shared" ref="E35:E39" si="0">IFERROR(D35/C35,)</f>
        <v>0</v>
      </c>
      <c r="F35" s="2">
        <f t="shared" ref="F35:F39" si="1">IFERROR(G35/D35,0)</f>
        <v>0</v>
      </c>
      <c r="G35" s="2">
        <f>SUM(G55:G61)</f>
        <v>0</v>
      </c>
      <c r="H35" s="2">
        <f>SUM(H55:H61)</f>
        <v>0</v>
      </c>
      <c r="I35" s="8">
        <f>IFERROR(H35/D35,0)</f>
        <v>0</v>
      </c>
      <c r="J35" s="2">
        <f>IFERROR(G35/H35,0)</f>
        <v>0</v>
      </c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</row>
    <row r="36" spans="2:22" s="1" customFormat="1" ht="13.5" customHeight="1">
      <c r="B36" s="4" t="str">
        <f>파워링크_Summary!B36</f>
        <v>2/9 ~ 2/15</v>
      </c>
      <c r="C36" s="2">
        <f>SUM(C62:C68)</f>
        <v>0</v>
      </c>
      <c r="D36" s="2">
        <f>SUM(D62:D68)</f>
        <v>0</v>
      </c>
      <c r="E36" s="8">
        <f t="shared" si="0"/>
        <v>0</v>
      </c>
      <c r="F36" s="3">
        <f t="shared" si="1"/>
        <v>0</v>
      </c>
      <c r="G36" s="2">
        <f>SUM(G62:G68)</f>
        <v>0</v>
      </c>
      <c r="H36" s="2">
        <f>SUM(H62:H68)</f>
        <v>0</v>
      </c>
      <c r="I36" s="8">
        <f>IFERROR(H36/D36,0)</f>
        <v>0</v>
      </c>
      <c r="J36" s="2">
        <f>IFERROR(G36/H36,0)</f>
        <v>0</v>
      </c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</row>
    <row r="37" spans="2:22" s="1" customFormat="1" ht="13.5" customHeight="1">
      <c r="B37" s="4" t="str">
        <f>파워링크_Summary!B37</f>
        <v>2/16 ~ 2/22</v>
      </c>
      <c r="C37" s="2">
        <f>SUM(C69:C75)</f>
        <v>0</v>
      </c>
      <c r="D37" s="2">
        <f>SUM(D69:D75)</f>
        <v>0</v>
      </c>
      <c r="E37" s="8">
        <f t="shared" si="0"/>
        <v>0</v>
      </c>
      <c r="F37" s="3">
        <f>IFERROR(G37/D37,0)</f>
        <v>0</v>
      </c>
      <c r="G37" s="2">
        <f>SUM(G69:G75)</f>
        <v>0</v>
      </c>
      <c r="H37" s="2">
        <f>SUM(H69:H75)</f>
        <v>0</v>
      </c>
      <c r="I37" s="8">
        <f>IFERROR(H37/D37,0)</f>
        <v>0</v>
      </c>
      <c r="J37" s="2">
        <f>IFERROR(G37/H37,0)</f>
        <v>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2:22" s="1" customFormat="1" ht="13.5" customHeight="1">
      <c r="B38" s="4" t="str">
        <f>파워링크_Summary!B38</f>
        <v>2/23 ~ 3/1</v>
      </c>
      <c r="C38" s="2">
        <f>SUM(C76:C82)</f>
        <v>0</v>
      </c>
      <c r="D38" s="2">
        <f>SUM(D76:D82)</f>
        <v>0</v>
      </c>
      <c r="E38" s="8">
        <f t="shared" si="0"/>
        <v>0</v>
      </c>
      <c r="F38" s="3">
        <f t="shared" si="1"/>
        <v>0</v>
      </c>
      <c r="G38" s="2">
        <f>SUM(G76:G82)</f>
        <v>0</v>
      </c>
      <c r="H38" s="2">
        <f>SUM(H76:H82)</f>
        <v>0</v>
      </c>
      <c r="I38" s="8">
        <f>IFERROR(H38/D38,0)</f>
        <v>0</v>
      </c>
      <c r="J38" s="2">
        <f>IFERROR(G38/H38,0)</f>
        <v>0</v>
      </c>
      <c r="K38" s="20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2:22" s="1" customFormat="1" ht="13.5" customHeight="1">
      <c r="B39" s="4" t="str">
        <f>파워링크_Summary!B39</f>
        <v>3/2 ~ 3/8</v>
      </c>
      <c r="C39" s="2">
        <f>SUM(C83:C85)</f>
        <v>0</v>
      </c>
      <c r="D39" s="2">
        <f>SUM(D83:D85)</f>
        <v>0</v>
      </c>
      <c r="E39" s="8">
        <f t="shared" si="0"/>
        <v>0</v>
      </c>
      <c r="F39" s="3">
        <f t="shared" si="1"/>
        <v>0</v>
      </c>
      <c r="G39" s="2">
        <f>SUM(G83:G85)</f>
        <v>0</v>
      </c>
      <c r="H39" s="2">
        <f>SUM(H83:H85)</f>
        <v>0</v>
      </c>
      <c r="I39" s="8">
        <f>IFERROR(H39/D39,0)</f>
        <v>0</v>
      </c>
      <c r="J39" s="2">
        <f>IFERROR(G39/H39,0)</f>
        <v>0</v>
      </c>
    </row>
    <row r="40" spans="2:22" s="1" customFormat="1" ht="13.5" customHeight="1">
      <c r="B40" s="12" t="s">
        <v>16</v>
      </c>
      <c r="C40" s="30" t="str">
        <f>IFERROR(C38/C37-1,"-")</f>
        <v>-</v>
      </c>
      <c r="D40" s="30" t="str">
        <f t="shared" ref="D40:J40" si="2">IFERROR(D37/D36-1,"-")</f>
        <v>-</v>
      </c>
      <c r="E40" s="30" t="str">
        <f t="shared" si="2"/>
        <v>-</v>
      </c>
      <c r="F40" s="30" t="str">
        <f t="shared" si="2"/>
        <v>-</v>
      </c>
      <c r="G40" s="30" t="str">
        <f t="shared" si="2"/>
        <v>-</v>
      </c>
      <c r="H40" s="30" t="str">
        <f t="shared" si="2"/>
        <v>-</v>
      </c>
      <c r="I40" s="30" t="str">
        <f t="shared" si="2"/>
        <v>-</v>
      </c>
      <c r="J40" s="30" t="str">
        <f t="shared" si="2"/>
        <v>-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2:22" s="1" customFormat="1" ht="14.25" customHeight="1">
      <c r="B41" s="19"/>
      <c r="K41" s="20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2:22" s="1" customFormat="1" ht="13.5" hidden="1" customHeight="1">
      <c r="B42" s="5" t="s">
        <v>26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2:22" s="1" customFormat="1" ht="13.5" hidden="1" customHeight="1">
      <c r="B43" s="204" t="s">
        <v>0</v>
      </c>
      <c r="C43" s="206" t="s">
        <v>8</v>
      </c>
      <c r="D43" s="206" t="s">
        <v>9</v>
      </c>
      <c r="E43" s="206" t="s">
        <v>10</v>
      </c>
      <c r="F43" s="206" t="s">
        <v>11</v>
      </c>
      <c r="G43" s="206" t="s">
        <v>12</v>
      </c>
      <c r="H43" s="207" t="s">
        <v>13</v>
      </c>
      <c r="I43" s="208"/>
      <c r="J43" s="20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</row>
    <row r="44" spans="2:22" s="1" customFormat="1" ht="13.5" hidden="1" customHeight="1">
      <c r="B44" s="204"/>
      <c r="C44" s="206"/>
      <c r="D44" s="206"/>
      <c r="E44" s="206"/>
      <c r="F44" s="206"/>
      <c r="G44" s="206"/>
      <c r="H44" s="6" t="s">
        <v>27</v>
      </c>
      <c r="I44" s="7" t="s">
        <v>14</v>
      </c>
      <c r="J44" s="29" t="s">
        <v>15</v>
      </c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</row>
    <row r="45" spans="2:22" s="1" customFormat="1" ht="13.5" hidden="1" customHeight="1">
      <c r="B45" s="4" t="s">
        <v>29</v>
      </c>
      <c r="C45" s="23" t="e">
        <f>SUMIFS(#REF!,#REF!,"파워링크",#REF!,카카오_Summary!$B45)</f>
        <v>#REF!</v>
      </c>
      <c r="D45" s="23" t="e">
        <f>SUMIFS(#REF!,#REF!,"파워링크",#REF!,카카오_Summary!$B45)</f>
        <v>#REF!</v>
      </c>
      <c r="E45" s="17">
        <f t="shared" ref="E45:E50" si="3">IFERROR(D45/C45,)</f>
        <v>0</v>
      </c>
      <c r="F45" s="16">
        <f t="shared" ref="F45:F50" si="4">IFERROR(G45/D45,0)</f>
        <v>0</v>
      </c>
      <c r="G45" s="23" t="e">
        <f>SUMIFS(#REF!,#REF!,"파워링크",#REF!,카카오_Summary!$B45)</f>
        <v>#REF!</v>
      </c>
      <c r="H45" s="23" t="e">
        <f>SUMIFS(#REF!,#REF!,카카오_Summary!$B45,#REF!,"파워링크")</f>
        <v>#REF!</v>
      </c>
      <c r="I45" s="8">
        <f t="shared" ref="I45:I50" si="5">IFERROR(H45/D45,0)</f>
        <v>0</v>
      </c>
      <c r="J45" s="2">
        <f t="shared" ref="J45:J50" si="6">IFERROR(G45/H45,0)</f>
        <v>0</v>
      </c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</row>
    <row r="46" spans="2:22" s="1" customFormat="1" ht="13.5" hidden="1" customHeight="1">
      <c r="B46" s="4" t="s">
        <v>30</v>
      </c>
      <c r="C46" s="23" t="e">
        <f>SUMIFS(#REF!,#REF!,"파워링크",#REF!,카카오_Summary!$B46)</f>
        <v>#REF!</v>
      </c>
      <c r="D46" s="23" t="e">
        <f>SUMIFS(#REF!,#REF!,"파워링크",#REF!,카카오_Summary!$B46)</f>
        <v>#REF!</v>
      </c>
      <c r="E46" s="17">
        <f t="shared" si="3"/>
        <v>0</v>
      </c>
      <c r="F46" s="16">
        <f t="shared" si="4"/>
        <v>0</v>
      </c>
      <c r="G46" s="23" t="e">
        <f>SUMIFS(#REF!,#REF!,"파워링크",#REF!,카카오_Summary!$B46)</f>
        <v>#REF!</v>
      </c>
      <c r="H46" s="23" t="e">
        <f>SUMIFS(#REF!,#REF!,카카오_Summary!$B46,#REF!,"파워링크")</f>
        <v>#REF!</v>
      </c>
      <c r="I46" s="8">
        <f t="shared" si="5"/>
        <v>0</v>
      </c>
      <c r="J46" s="2">
        <f t="shared" si="6"/>
        <v>0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2:22" s="1" customFormat="1" ht="13.5" hidden="1" customHeight="1">
      <c r="B47" s="4" t="s">
        <v>32</v>
      </c>
      <c r="C47" s="23" t="e">
        <f>SUMIFS(#REF!,#REF!,"파워링크",#REF!,카카오_Summary!$B47)</f>
        <v>#REF!</v>
      </c>
      <c r="D47" s="23" t="e">
        <f>SUMIFS(#REF!,#REF!,"파워링크",#REF!,카카오_Summary!$B47)</f>
        <v>#REF!</v>
      </c>
      <c r="E47" s="17">
        <f t="shared" si="3"/>
        <v>0</v>
      </c>
      <c r="F47" s="16">
        <f t="shared" si="4"/>
        <v>0</v>
      </c>
      <c r="G47" s="23" t="e">
        <f>SUMIFS(#REF!,#REF!,"파워링크",#REF!,카카오_Summary!$B47)</f>
        <v>#REF!</v>
      </c>
      <c r="H47" s="23" t="e">
        <f>SUMIFS(#REF!,#REF!,카카오_Summary!$B47,#REF!,"파워링크")</f>
        <v>#REF!</v>
      </c>
      <c r="I47" s="8">
        <f t="shared" si="5"/>
        <v>0</v>
      </c>
      <c r="J47" s="2">
        <f t="shared" si="6"/>
        <v>0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2:22" s="1" customFormat="1" ht="13.5" hidden="1" customHeight="1">
      <c r="B48" s="4" t="s">
        <v>33</v>
      </c>
      <c r="C48" s="23" t="e">
        <f>SUMIFS(#REF!,#REF!,"파워링크",#REF!,카카오_Summary!$B48)</f>
        <v>#REF!</v>
      </c>
      <c r="D48" s="23" t="e">
        <f>SUMIFS(#REF!,#REF!,"파워링크",#REF!,카카오_Summary!$B48)</f>
        <v>#REF!</v>
      </c>
      <c r="E48" s="17">
        <f t="shared" si="3"/>
        <v>0</v>
      </c>
      <c r="F48" s="16">
        <f t="shared" si="4"/>
        <v>0</v>
      </c>
      <c r="G48" s="23" t="e">
        <f>SUMIFS(#REF!,#REF!,"파워링크",#REF!,카카오_Summary!$B48)</f>
        <v>#REF!</v>
      </c>
      <c r="H48" s="23" t="e">
        <f>SUMIFS(#REF!,#REF!,카카오_Summary!$B48,#REF!,"파워링크")</f>
        <v>#REF!</v>
      </c>
      <c r="I48" s="8">
        <f t="shared" si="5"/>
        <v>0</v>
      </c>
      <c r="J48" s="2">
        <f t="shared" si="6"/>
        <v>0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2:22" s="1" customFormat="1" ht="13.5" hidden="1" customHeight="1">
      <c r="B49" s="4" t="s">
        <v>31</v>
      </c>
      <c r="C49" s="23" t="e">
        <f>SUMIFS(#REF!,#REF!,"파워링크",#REF!,카카오_Summary!$B49)</f>
        <v>#REF!</v>
      </c>
      <c r="D49" s="23" t="e">
        <f>SUMIFS(#REF!,#REF!,"파워링크",#REF!,카카오_Summary!$B49)</f>
        <v>#REF!</v>
      </c>
      <c r="E49" s="17">
        <f t="shared" si="3"/>
        <v>0</v>
      </c>
      <c r="F49" s="16">
        <f t="shared" si="4"/>
        <v>0</v>
      </c>
      <c r="G49" s="23" t="e">
        <f>SUMIFS(#REF!,#REF!,"파워링크",#REF!,카카오_Summary!$B49)</f>
        <v>#REF!</v>
      </c>
      <c r="H49" s="23" t="e">
        <f>SUMIFS(#REF!,#REF!,카카오_Summary!$B49,#REF!,"파워링크")</f>
        <v>#REF!</v>
      </c>
      <c r="I49" s="8">
        <f t="shared" si="5"/>
        <v>0</v>
      </c>
      <c r="J49" s="2">
        <f t="shared" si="6"/>
        <v>0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2:22" s="1" customFormat="1" ht="13.5" hidden="1" customHeight="1">
      <c r="B50" s="9" t="s">
        <v>17</v>
      </c>
      <c r="C50" s="10" t="e">
        <f>SUM(C45:C49)</f>
        <v>#REF!</v>
      </c>
      <c r="D50" s="10" t="e">
        <f>SUM(D45:D49)</f>
        <v>#REF!</v>
      </c>
      <c r="E50" s="11">
        <f t="shared" si="3"/>
        <v>0</v>
      </c>
      <c r="F50" s="10">
        <f t="shared" si="4"/>
        <v>0</v>
      </c>
      <c r="G50" s="10" t="e">
        <f>SUM(G45:G49)</f>
        <v>#REF!</v>
      </c>
      <c r="H50" s="10" t="e">
        <f>SUM(H45:H49)</f>
        <v>#REF!</v>
      </c>
      <c r="I50" s="11">
        <f t="shared" si="5"/>
        <v>0</v>
      </c>
      <c r="J50" s="10">
        <f t="shared" si="6"/>
        <v>0</v>
      </c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</row>
    <row r="51" spans="2:22" s="18" customFormat="1">
      <c r="B51" s="5" t="s">
        <v>18</v>
      </c>
      <c r="C51" s="1"/>
      <c r="D51" s="1"/>
      <c r="E51" s="1"/>
      <c r="F51" s="1"/>
      <c r="G51" s="1"/>
      <c r="H51" s="1"/>
      <c r="I51" s="1"/>
      <c r="J51" s="1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</row>
    <row r="52" spans="2:22" s="13" customFormat="1" ht="16.5" customHeight="1">
      <c r="B52" s="204" t="s">
        <v>56</v>
      </c>
      <c r="C52" s="206" t="s">
        <v>8</v>
      </c>
      <c r="D52" s="206" t="s">
        <v>9</v>
      </c>
      <c r="E52" s="206" t="s">
        <v>58</v>
      </c>
      <c r="F52" s="206" t="s">
        <v>11</v>
      </c>
      <c r="G52" s="206" t="s">
        <v>12</v>
      </c>
      <c r="H52" s="207" t="s">
        <v>13</v>
      </c>
      <c r="I52" s="208"/>
      <c r="J52" s="208"/>
    </row>
    <row r="53" spans="2:22" s="1" customFormat="1">
      <c r="B53" s="204"/>
      <c r="C53" s="206"/>
      <c r="D53" s="206"/>
      <c r="E53" s="206"/>
      <c r="F53" s="206"/>
      <c r="G53" s="206"/>
      <c r="H53" s="6" t="s">
        <v>43</v>
      </c>
      <c r="I53" s="7" t="s">
        <v>59</v>
      </c>
      <c r="J53" s="29" t="s">
        <v>44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2:22" s="1" customFormat="1">
      <c r="B54" s="9" t="s">
        <v>19</v>
      </c>
      <c r="C54" s="14">
        <f>SUM(C55:C85)</f>
        <v>0</v>
      </c>
      <c r="D54" s="14">
        <f>SUM(D55:D85)</f>
        <v>0</v>
      </c>
      <c r="E54" s="15">
        <f t="shared" ref="E54" si="7">IFERROR(D54/C54,)</f>
        <v>0</v>
      </c>
      <c r="F54" s="14">
        <f t="shared" ref="F54" si="8">IFERROR(G54/D54,0)</f>
        <v>0</v>
      </c>
      <c r="G54" s="14">
        <f>SUM(G55:G85)</f>
        <v>0</v>
      </c>
      <c r="H54" s="14">
        <f>SUM(H55:H85)</f>
        <v>0</v>
      </c>
      <c r="I54" s="15">
        <f t="shared" ref="I54" si="9">IFERROR(H54/D54,0)</f>
        <v>0</v>
      </c>
      <c r="J54" s="14">
        <f t="shared" ref="J54" si="10">IFERROR(G54/H54,0)</f>
        <v>0</v>
      </c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</row>
    <row r="55" spans="2:22" s="129" customFormat="1">
      <c r="B55" s="27">
        <v>45778</v>
      </c>
      <c r="C55" s="28">
        <f>SUMIFS('카카오 RAW'!E:E,'카카오 RAW'!$A:$A,$B55,'카카오 RAW'!$D:$D,"프리미엄링크")</f>
        <v>0</v>
      </c>
      <c r="D55" s="28">
        <f>SUMIFS('카카오 RAW'!F:F,'카카오 RAW'!$A:$A,$B55,'카카오 RAW'!$D:$D,"프리미엄링크")</f>
        <v>0</v>
      </c>
      <c r="E55" s="8">
        <f>IFERROR(D55/C55,)</f>
        <v>0</v>
      </c>
      <c r="F55" s="2">
        <f>IFERROR(G55/D55,0)</f>
        <v>0</v>
      </c>
      <c r="G55" s="28">
        <f>SUMIFS('카카오 RAW'!H:H,'카카오 RAW'!$A:$A,$B55,'카카오 RAW'!$D:$D,"프리미엄링크")</f>
        <v>0</v>
      </c>
      <c r="H55" s="28">
        <f>SUMIFS('카카오 RAW'!I:I,'카카오 RAW'!$A:$A,$B55,'카카오 RAW'!$D:$D,"프리미엄링크")</f>
        <v>0</v>
      </c>
      <c r="I55" s="8">
        <f t="shared" ref="I55:I85" si="11">IFERROR(H55/D55,0)</f>
        <v>0</v>
      </c>
      <c r="J55" s="2">
        <f t="shared" ref="J55:J85" si="12">IFERROR(G55/H55,0)</f>
        <v>0</v>
      </c>
    </row>
    <row r="56" spans="2:22" s="128" customFormat="1">
      <c r="B56" s="27">
        <v>45779</v>
      </c>
      <c r="C56" s="155">
        <f>SUMIFS('카카오 RAW'!E:E,'카카오 RAW'!$A:$A,$B56,'카카오 RAW'!$D:$D,"프리미엄링크")</f>
        <v>0</v>
      </c>
      <c r="D56" s="155">
        <f>SUMIFS('카카오 RAW'!F:F,'카카오 RAW'!$A:$A,$B56,'카카오 RAW'!$D:$D,"프리미엄링크")</f>
        <v>0</v>
      </c>
      <c r="E56" s="17">
        <f t="shared" ref="E56:E85" si="13">IFERROR(D56/C56,)</f>
        <v>0</v>
      </c>
      <c r="F56" s="16">
        <f t="shared" ref="F56:F85" si="14">IFERROR(G56/D56,0)</f>
        <v>0</v>
      </c>
      <c r="G56" s="155">
        <f>SUMIFS('카카오 RAW'!H:H,'카카오 RAW'!$A:$A,$B56,'카카오 RAW'!$D:$D,"프리미엄링크")</f>
        <v>0</v>
      </c>
      <c r="H56" s="156">
        <f>SUMIFS('카카오 RAW'!I:I,'카카오 RAW'!$A:$A,$B56,'카카오 RAW'!$D:$D,"프리미엄링크")</f>
        <v>0</v>
      </c>
      <c r="I56" s="17">
        <f t="shared" si="11"/>
        <v>0</v>
      </c>
      <c r="J56" s="16">
        <f t="shared" si="12"/>
        <v>0</v>
      </c>
    </row>
    <row r="57" spans="2:22" s="129" customFormat="1">
      <c r="B57" s="153">
        <v>45780</v>
      </c>
      <c r="C57" s="157">
        <f>SUMIFS('카카오 RAW'!E:E,'카카오 RAW'!$A:$A,$B57,'카카오 RAW'!$D:$D,"프리미엄링크")</f>
        <v>0</v>
      </c>
      <c r="D57" s="157">
        <f>SUMIFS('카카오 RAW'!F:F,'카카오 RAW'!$A:$A,$B57,'카카오 RAW'!$D:$D,"프리미엄링크")</f>
        <v>0</v>
      </c>
      <c r="E57" s="158">
        <f t="shared" si="13"/>
        <v>0</v>
      </c>
      <c r="F57" s="159">
        <f t="shared" si="14"/>
        <v>0</v>
      </c>
      <c r="G57" s="157">
        <f>SUMIFS('카카오 RAW'!H:H,'카카오 RAW'!$A:$A,$B57,'카카오 RAW'!$D:$D,"프리미엄링크")</f>
        <v>0</v>
      </c>
      <c r="H57" s="160">
        <f>SUMIFS('카카오 RAW'!I:I,'카카오 RAW'!$A:$A,$B57,'카카오 RAW'!$D:$D,"프리미엄링크")</f>
        <v>0</v>
      </c>
      <c r="I57" s="158">
        <f t="shared" si="11"/>
        <v>0</v>
      </c>
      <c r="J57" s="159">
        <f t="shared" si="12"/>
        <v>0</v>
      </c>
      <c r="K57" s="24"/>
      <c r="L57" s="24"/>
    </row>
    <row r="58" spans="2:22" s="128" customFormat="1">
      <c r="B58" s="154">
        <v>45781</v>
      </c>
      <c r="C58" s="161">
        <f>SUMIFS('카카오 RAW'!E:E,'카카오 RAW'!$A:$A,$B58,'카카오 RAW'!$D:$D,"프리미엄링크")</f>
        <v>0</v>
      </c>
      <c r="D58" s="161">
        <f>SUMIFS('카카오 RAW'!F:F,'카카오 RAW'!$A:$A,$B58,'카카오 RAW'!$D:$D,"프리미엄링크")</f>
        <v>0</v>
      </c>
      <c r="E58" s="162">
        <f t="shared" si="13"/>
        <v>0</v>
      </c>
      <c r="F58" s="163">
        <f t="shared" si="14"/>
        <v>0</v>
      </c>
      <c r="G58" s="161">
        <f>SUMIFS('카카오 RAW'!H:H,'카카오 RAW'!$A:$A,$B58,'카카오 RAW'!$D:$D,"프리미엄링크")</f>
        <v>0</v>
      </c>
      <c r="H58" s="164">
        <f>SUMIFS('카카오 RAW'!I:I,'카카오 RAW'!$A:$A,$B58,'카카오 RAW'!$D:$D,"프리미엄링크")</f>
        <v>0</v>
      </c>
      <c r="I58" s="162">
        <f t="shared" si="11"/>
        <v>0</v>
      </c>
      <c r="J58" s="163">
        <f t="shared" si="12"/>
        <v>0</v>
      </c>
      <c r="K58" s="24"/>
      <c r="L58" s="24"/>
    </row>
    <row r="59" spans="2:22" s="129" customFormat="1">
      <c r="B59" s="154">
        <v>45782</v>
      </c>
      <c r="C59" s="161">
        <f>SUMIFS('카카오 RAW'!E:E,'카카오 RAW'!$A:$A,$B59,'카카오 RAW'!$D:$D,"프리미엄링크")</f>
        <v>0</v>
      </c>
      <c r="D59" s="161">
        <f>SUMIFS('카카오 RAW'!F:F,'카카오 RAW'!$A:$A,$B59,'카카오 RAW'!$D:$D,"프리미엄링크")</f>
        <v>0</v>
      </c>
      <c r="E59" s="162">
        <f t="shared" si="13"/>
        <v>0</v>
      </c>
      <c r="F59" s="163">
        <f t="shared" si="14"/>
        <v>0</v>
      </c>
      <c r="G59" s="161">
        <f>SUMIFS('카카오 RAW'!H:H,'카카오 RAW'!$A:$A,$B59,'카카오 RAW'!$D:$D,"프리미엄링크")</f>
        <v>0</v>
      </c>
      <c r="H59" s="164">
        <f>SUMIFS('카카오 RAW'!I:I,'카카오 RAW'!$A:$A,$B59,'카카오 RAW'!$D:$D,"프리미엄링크")</f>
        <v>0</v>
      </c>
      <c r="I59" s="162">
        <f t="shared" si="11"/>
        <v>0</v>
      </c>
      <c r="J59" s="163">
        <f t="shared" si="12"/>
        <v>0</v>
      </c>
      <c r="K59" s="24"/>
      <c r="L59" s="24"/>
    </row>
    <row r="60" spans="2:22" s="129" customFormat="1" ht="12.75" customHeight="1">
      <c r="B60" s="154">
        <v>45783</v>
      </c>
      <c r="C60" s="161">
        <f>SUMIFS('카카오 RAW'!E:E,'카카오 RAW'!$A:$A,$B60,'카카오 RAW'!$D:$D,"프리미엄링크")</f>
        <v>0</v>
      </c>
      <c r="D60" s="161">
        <f>SUMIFS('카카오 RAW'!F:F,'카카오 RAW'!$A:$A,$B60,'카카오 RAW'!$D:$D,"프리미엄링크")</f>
        <v>0</v>
      </c>
      <c r="E60" s="162">
        <f t="shared" si="13"/>
        <v>0</v>
      </c>
      <c r="F60" s="163">
        <f t="shared" si="14"/>
        <v>0</v>
      </c>
      <c r="G60" s="161">
        <f>SUMIFS('카카오 RAW'!H:H,'카카오 RAW'!$A:$A,$B60,'카카오 RAW'!$D:$D,"프리미엄링크")</f>
        <v>0</v>
      </c>
      <c r="H60" s="164">
        <f>SUMIFS('카카오 RAW'!I:I,'카카오 RAW'!$A:$A,$B60,'카카오 RAW'!$D:$D,"프리미엄링크")</f>
        <v>0</v>
      </c>
      <c r="I60" s="162">
        <f t="shared" si="11"/>
        <v>0</v>
      </c>
      <c r="J60" s="163">
        <f t="shared" si="12"/>
        <v>0</v>
      </c>
      <c r="K60" s="24"/>
      <c r="L60" s="24"/>
    </row>
    <row r="61" spans="2:22" s="128" customFormat="1">
      <c r="B61" s="27">
        <v>45784</v>
      </c>
      <c r="C61" s="155">
        <f>SUMIFS('카카오 RAW'!E:E,'카카오 RAW'!$A:$A,$B61,'카카오 RAW'!$D:$D,"프리미엄링크")</f>
        <v>0</v>
      </c>
      <c r="D61" s="155">
        <f>SUMIFS('카카오 RAW'!F:F,'카카오 RAW'!$A:$A,$B61,'카카오 RAW'!$D:$D,"프리미엄링크")</f>
        <v>0</v>
      </c>
      <c r="E61" s="17">
        <f t="shared" si="13"/>
        <v>0</v>
      </c>
      <c r="F61" s="16">
        <f t="shared" si="14"/>
        <v>0</v>
      </c>
      <c r="G61" s="155">
        <f>SUMIFS('카카오 RAW'!H:H,'카카오 RAW'!$A:$A,$B61,'카카오 RAW'!$D:$D,"프리미엄링크")</f>
        <v>0</v>
      </c>
      <c r="H61" s="156">
        <f>SUMIFS('카카오 RAW'!I:I,'카카오 RAW'!$A:$A,$B61,'카카오 RAW'!$D:$D,"프리미엄링크")</f>
        <v>0</v>
      </c>
      <c r="I61" s="17">
        <f t="shared" si="11"/>
        <v>0</v>
      </c>
      <c r="J61" s="16">
        <f t="shared" si="12"/>
        <v>0</v>
      </c>
      <c r="K61" s="24"/>
      <c r="L61" s="24"/>
    </row>
    <row r="62" spans="2:22" s="129" customFormat="1">
      <c r="B62" s="27">
        <v>45785</v>
      </c>
      <c r="C62" s="155">
        <f>SUMIFS('카카오 RAW'!E:E,'카카오 RAW'!$A:$A,$B62,'카카오 RAW'!$D:$D,"프리미엄링크")</f>
        <v>0</v>
      </c>
      <c r="D62" s="155">
        <f>SUMIFS('카카오 RAW'!F:F,'카카오 RAW'!$A:$A,$B62,'카카오 RAW'!$D:$D,"프리미엄링크")</f>
        <v>0</v>
      </c>
      <c r="E62" s="17">
        <f t="shared" si="13"/>
        <v>0</v>
      </c>
      <c r="F62" s="16">
        <f t="shared" si="14"/>
        <v>0</v>
      </c>
      <c r="G62" s="155">
        <f>SUMIFS('카카오 RAW'!H:H,'카카오 RAW'!$A:$A,$B62,'카카오 RAW'!$D:$D,"프리미엄링크")</f>
        <v>0</v>
      </c>
      <c r="H62" s="156">
        <f>SUMIFS('카카오 RAW'!I:I,'카카오 RAW'!$A:$A,$B62,'카카오 RAW'!$D:$D,"프리미엄링크")</f>
        <v>0</v>
      </c>
      <c r="I62" s="17">
        <f t="shared" si="11"/>
        <v>0</v>
      </c>
      <c r="J62" s="16">
        <f t="shared" si="12"/>
        <v>0</v>
      </c>
      <c r="K62" s="24"/>
      <c r="L62" s="24"/>
    </row>
    <row r="63" spans="2:22" s="128" customFormat="1">
      <c r="B63" s="27">
        <v>45786</v>
      </c>
      <c r="C63" s="155">
        <f>SUMIFS('카카오 RAW'!E:E,'카카오 RAW'!$A:$A,$B63,'카카오 RAW'!$D:$D,"프리미엄링크")</f>
        <v>0</v>
      </c>
      <c r="D63" s="155">
        <f>SUMIFS('카카오 RAW'!F:F,'카카오 RAW'!$A:$A,$B63,'카카오 RAW'!$D:$D,"프리미엄링크")</f>
        <v>0</v>
      </c>
      <c r="E63" s="17">
        <f t="shared" si="13"/>
        <v>0</v>
      </c>
      <c r="F63" s="16">
        <f t="shared" si="14"/>
        <v>0</v>
      </c>
      <c r="G63" s="155">
        <f>SUMIFS('카카오 RAW'!H:H,'카카오 RAW'!$A:$A,$B63,'카카오 RAW'!$D:$D,"프리미엄링크")</f>
        <v>0</v>
      </c>
      <c r="H63" s="156">
        <f>SUMIFS('카카오 RAW'!I:I,'카카오 RAW'!$A:$A,$B63,'카카오 RAW'!$D:$D,"프리미엄링크")</f>
        <v>0</v>
      </c>
      <c r="I63" s="17">
        <f t="shared" si="11"/>
        <v>0</v>
      </c>
      <c r="J63" s="16">
        <f t="shared" si="12"/>
        <v>0</v>
      </c>
      <c r="K63" s="24"/>
      <c r="L63" s="24"/>
    </row>
    <row r="64" spans="2:22" s="129" customFormat="1">
      <c r="B64" s="153">
        <v>45787</v>
      </c>
      <c r="C64" s="157">
        <f>SUMIFS('카카오 RAW'!E:E,'카카오 RAW'!$A:$A,$B64,'카카오 RAW'!$D:$D,"프리미엄링크")</f>
        <v>0</v>
      </c>
      <c r="D64" s="157">
        <f>SUMIFS('카카오 RAW'!F:F,'카카오 RAW'!$A:$A,$B64,'카카오 RAW'!$D:$D,"프리미엄링크")</f>
        <v>0</v>
      </c>
      <c r="E64" s="158">
        <f t="shared" si="13"/>
        <v>0</v>
      </c>
      <c r="F64" s="159">
        <f t="shared" si="14"/>
        <v>0</v>
      </c>
      <c r="G64" s="157">
        <f>SUMIFS('카카오 RAW'!H:H,'카카오 RAW'!$A:$A,$B64,'카카오 RAW'!$D:$D,"프리미엄링크")</f>
        <v>0</v>
      </c>
      <c r="H64" s="160">
        <f>SUMIFS('카카오 RAW'!I:I,'카카오 RAW'!$A:$A,$B64,'카카오 RAW'!$D:$D,"프리미엄링크")</f>
        <v>0</v>
      </c>
      <c r="I64" s="158">
        <f t="shared" si="11"/>
        <v>0</v>
      </c>
      <c r="J64" s="159">
        <f t="shared" si="12"/>
        <v>0</v>
      </c>
      <c r="K64" s="24"/>
      <c r="L64" s="24"/>
    </row>
    <row r="65" spans="2:12" s="128" customFormat="1">
      <c r="B65" s="154">
        <v>45788</v>
      </c>
      <c r="C65" s="161">
        <f>SUMIFS('카카오 RAW'!E:E,'카카오 RAW'!$A:$A,$B65,'카카오 RAW'!$D:$D,"프리미엄링크")</f>
        <v>0</v>
      </c>
      <c r="D65" s="161">
        <f>SUMIFS('카카오 RAW'!F:F,'카카오 RAW'!$A:$A,$B65,'카카오 RAW'!$D:$D,"프리미엄링크")</f>
        <v>0</v>
      </c>
      <c r="E65" s="162">
        <f t="shared" si="13"/>
        <v>0</v>
      </c>
      <c r="F65" s="163">
        <f t="shared" si="14"/>
        <v>0</v>
      </c>
      <c r="G65" s="161">
        <f>SUMIFS('카카오 RAW'!H:H,'카카오 RAW'!$A:$A,$B65,'카카오 RAW'!$D:$D,"프리미엄링크")</f>
        <v>0</v>
      </c>
      <c r="H65" s="164">
        <f>SUMIFS('카카오 RAW'!I:I,'카카오 RAW'!$A:$A,$B65,'카카오 RAW'!$D:$D,"프리미엄링크")</f>
        <v>0</v>
      </c>
      <c r="I65" s="162">
        <f t="shared" si="11"/>
        <v>0</v>
      </c>
      <c r="J65" s="163">
        <f t="shared" si="12"/>
        <v>0</v>
      </c>
      <c r="K65" s="24"/>
      <c r="L65" s="24"/>
    </row>
    <row r="66" spans="2:12" s="129" customFormat="1">
      <c r="B66" s="27">
        <v>45789</v>
      </c>
      <c r="C66" s="155">
        <f>SUMIFS('카카오 RAW'!E:E,'카카오 RAW'!$A:$A,$B66,'카카오 RAW'!$D:$D,"프리미엄링크")</f>
        <v>0</v>
      </c>
      <c r="D66" s="155">
        <f>SUMIFS('카카오 RAW'!F:F,'카카오 RAW'!$A:$A,$B66,'카카오 RAW'!$D:$D,"프리미엄링크")</f>
        <v>0</v>
      </c>
      <c r="E66" s="17">
        <f t="shared" si="13"/>
        <v>0</v>
      </c>
      <c r="F66" s="16">
        <f t="shared" si="14"/>
        <v>0</v>
      </c>
      <c r="G66" s="155">
        <f>SUMIFS('카카오 RAW'!H:H,'카카오 RAW'!$A:$A,$B66,'카카오 RAW'!$D:$D,"프리미엄링크")</f>
        <v>0</v>
      </c>
      <c r="H66" s="156">
        <f>SUMIFS('카카오 RAW'!I:I,'카카오 RAW'!$A:$A,$B66,'카카오 RAW'!$D:$D,"프리미엄링크")</f>
        <v>0</v>
      </c>
      <c r="I66" s="17">
        <f t="shared" si="11"/>
        <v>0</v>
      </c>
      <c r="J66" s="16">
        <f t="shared" si="12"/>
        <v>0</v>
      </c>
      <c r="K66" s="24"/>
      <c r="L66" s="24"/>
    </row>
    <row r="67" spans="2:12" s="129" customFormat="1">
      <c r="B67" s="27">
        <v>45790</v>
      </c>
      <c r="C67" s="155">
        <f>SUMIFS('카카오 RAW'!E:E,'카카오 RAW'!$A:$A,$B67,'카카오 RAW'!$D:$D,"프리미엄링크")</f>
        <v>0</v>
      </c>
      <c r="D67" s="155">
        <f>SUMIFS('카카오 RAW'!F:F,'카카오 RAW'!$A:$A,$B67,'카카오 RAW'!$D:$D,"프리미엄링크")</f>
        <v>0</v>
      </c>
      <c r="E67" s="17">
        <f t="shared" si="13"/>
        <v>0</v>
      </c>
      <c r="F67" s="16">
        <f t="shared" si="14"/>
        <v>0</v>
      </c>
      <c r="G67" s="155">
        <f>SUMIFS('카카오 RAW'!H:H,'카카오 RAW'!$A:$A,$B67,'카카오 RAW'!$D:$D,"프리미엄링크")</f>
        <v>0</v>
      </c>
      <c r="H67" s="156">
        <f>SUMIFS('카카오 RAW'!I:I,'카카오 RAW'!$A:$A,$B67,'카카오 RAW'!$D:$D,"프리미엄링크")</f>
        <v>0</v>
      </c>
      <c r="I67" s="17">
        <f t="shared" si="11"/>
        <v>0</v>
      </c>
      <c r="J67" s="16">
        <f t="shared" si="12"/>
        <v>0</v>
      </c>
      <c r="K67" s="24"/>
      <c r="L67" s="24"/>
    </row>
    <row r="68" spans="2:12" s="128" customFormat="1">
      <c r="B68" s="27">
        <v>45791</v>
      </c>
      <c r="C68" s="155">
        <f>SUMIFS('카카오 RAW'!E:E,'카카오 RAW'!$A:$A,$B68,'카카오 RAW'!$D:$D,"프리미엄링크")</f>
        <v>0</v>
      </c>
      <c r="D68" s="155">
        <f>SUMIFS('카카오 RAW'!F:F,'카카오 RAW'!$A:$A,$B68,'카카오 RAW'!$D:$D,"프리미엄링크")</f>
        <v>0</v>
      </c>
      <c r="E68" s="17">
        <f t="shared" si="13"/>
        <v>0</v>
      </c>
      <c r="F68" s="16">
        <f t="shared" si="14"/>
        <v>0</v>
      </c>
      <c r="G68" s="155">
        <f>SUMIFS('카카오 RAW'!H:H,'카카오 RAW'!$A:$A,$B68,'카카오 RAW'!$D:$D,"프리미엄링크")</f>
        <v>0</v>
      </c>
      <c r="H68" s="156">
        <f>SUMIFS('카카오 RAW'!I:I,'카카오 RAW'!$A:$A,$B68,'카카오 RAW'!$D:$D,"프리미엄링크")</f>
        <v>0</v>
      </c>
      <c r="I68" s="17">
        <f t="shared" si="11"/>
        <v>0</v>
      </c>
      <c r="J68" s="16">
        <f t="shared" si="12"/>
        <v>0</v>
      </c>
      <c r="K68" s="24"/>
      <c r="L68" s="24"/>
    </row>
    <row r="69" spans="2:12" s="129" customFormat="1">
      <c r="B69" s="27">
        <v>45792</v>
      </c>
      <c r="C69" s="155">
        <f>SUMIFS('카카오 RAW'!E:E,'카카오 RAW'!$A:$A,$B69,'카카오 RAW'!$D:$D,"프리미엄링크")</f>
        <v>0</v>
      </c>
      <c r="D69" s="155">
        <f>SUMIFS('카카오 RAW'!F:F,'카카오 RAW'!$A:$A,$B69,'카카오 RAW'!$D:$D,"프리미엄링크")</f>
        <v>0</v>
      </c>
      <c r="E69" s="17">
        <f t="shared" si="13"/>
        <v>0</v>
      </c>
      <c r="F69" s="16">
        <f t="shared" si="14"/>
        <v>0</v>
      </c>
      <c r="G69" s="155">
        <f>SUMIFS('카카오 RAW'!H:H,'카카오 RAW'!$A:$A,$B69,'카카오 RAW'!$D:$D,"프리미엄링크")</f>
        <v>0</v>
      </c>
      <c r="H69" s="156">
        <f>SUMIFS('카카오 RAW'!I:I,'카카오 RAW'!$A:$A,$B69,'카카오 RAW'!$D:$D,"프리미엄링크")</f>
        <v>0</v>
      </c>
      <c r="I69" s="17">
        <f t="shared" si="11"/>
        <v>0</v>
      </c>
      <c r="J69" s="16">
        <f t="shared" si="12"/>
        <v>0</v>
      </c>
      <c r="K69" s="24"/>
      <c r="L69" s="24"/>
    </row>
    <row r="70" spans="2:12" s="128" customFormat="1">
      <c r="B70" s="27">
        <v>45793</v>
      </c>
      <c r="C70" s="155">
        <f>SUMIFS('카카오 RAW'!E:E,'카카오 RAW'!$A:$A,$B70,'카카오 RAW'!$D:$D,"프리미엄링크")</f>
        <v>0</v>
      </c>
      <c r="D70" s="155">
        <f>SUMIFS('카카오 RAW'!F:F,'카카오 RAW'!$A:$A,$B70,'카카오 RAW'!$D:$D,"프리미엄링크")</f>
        <v>0</v>
      </c>
      <c r="E70" s="17">
        <f t="shared" si="13"/>
        <v>0</v>
      </c>
      <c r="F70" s="16">
        <f t="shared" si="14"/>
        <v>0</v>
      </c>
      <c r="G70" s="155">
        <f>SUMIFS('카카오 RAW'!H:H,'카카오 RAW'!$A:$A,$B70,'카카오 RAW'!$D:$D,"프리미엄링크")</f>
        <v>0</v>
      </c>
      <c r="H70" s="156">
        <f>SUMIFS('카카오 RAW'!I:I,'카카오 RAW'!$A:$A,$B70,'카카오 RAW'!$D:$D,"프리미엄링크")</f>
        <v>0</v>
      </c>
      <c r="I70" s="17">
        <f t="shared" si="11"/>
        <v>0</v>
      </c>
      <c r="J70" s="16">
        <f t="shared" si="12"/>
        <v>0</v>
      </c>
      <c r="K70" s="24"/>
      <c r="L70" s="24"/>
    </row>
    <row r="71" spans="2:12" s="129" customFormat="1">
      <c r="B71" s="153">
        <v>45794</v>
      </c>
      <c r="C71" s="157">
        <f>SUMIFS('카카오 RAW'!E:E,'카카오 RAW'!$A:$A,$B71,'카카오 RAW'!$D:$D,"프리미엄링크")</f>
        <v>0</v>
      </c>
      <c r="D71" s="157">
        <f>SUMIFS('카카오 RAW'!F:F,'카카오 RAW'!$A:$A,$B71,'카카오 RAW'!$D:$D,"프리미엄링크")</f>
        <v>0</v>
      </c>
      <c r="E71" s="158">
        <f t="shared" si="13"/>
        <v>0</v>
      </c>
      <c r="F71" s="159">
        <f t="shared" si="14"/>
        <v>0</v>
      </c>
      <c r="G71" s="157">
        <f>SUMIFS('카카오 RAW'!H:H,'카카오 RAW'!$A:$A,$B71,'카카오 RAW'!$D:$D,"프리미엄링크")</f>
        <v>0</v>
      </c>
      <c r="H71" s="160">
        <f>SUMIFS('카카오 RAW'!I:I,'카카오 RAW'!$A:$A,$B71,'카카오 RAW'!$D:$D,"프리미엄링크")</f>
        <v>0</v>
      </c>
      <c r="I71" s="158">
        <f t="shared" si="11"/>
        <v>0</v>
      </c>
      <c r="J71" s="159">
        <f t="shared" si="12"/>
        <v>0</v>
      </c>
      <c r="K71" s="24"/>
      <c r="L71" s="24"/>
    </row>
    <row r="72" spans="2:12" s="128" customFormat="1">
      <c r="B72" s="154">
        <v>45795</v>
      </c>
      <c r="C72" s="161">
        <f>SUMIFS('카카오 RAW'!E:E,'카카오 RAW'!$A:$A,$B72,'카카오 RAW'!$D:$D,"프리미엄링크")</f>
        <v>0</v>
      </c>
      <c r="D72" s="161">
        <f>SUMIFS('카카오 RAW'!F:F,'카카오 RAW'!$A:$A,$B72,'카카오 RAW'!$D:$D,"프리미엄링크")</f>
        <v>0</v>
      </c>
      <c r="E72" s="162">
        <f t="shared" si="13"/>
        <v>0</v>
      </c>
      <c r="F72" s="163">
        <f t="shared" si="14"/>
        <v>0</v>
      </c>
      <c r="G72" s="161">
        <f>SUMIFS('카카오 RAW'!H:H,'카카오 RAW'!$A:$A,$B72,'카카오 RAW'!$D:$D,"프리미엄링크")</f>
        <v>0</v>
      </c>
      <c r="H72" s="164">
        <f>SUMIFS('카카오 RAW'!I:I,'카카오 RAW'!$A:$A,$B72,'카카오 RAW'!$D:$D,"프리미엄링크")</f>
        <v>0</v>
      </c>
      <c r="I72" s="162">
        <f t="shared" si="11"/>
        <v>0</v>
      </c>
      <c r="J72" s="163">
        <f t="shared" si="12"/>
        <v>0</v>
      </c>
      <c r="K72" s="24"/>
      <c r="L72" s="24"/>
    </row>
    <row r="73" spans="2:12" s="129" customFormat="1">
      <c r="B73" s="27">
        <v>45796</v>
      </c>
      <c r="C73" s="155">
        <f>SUMIFS('카카오 RAW'!E:E,'카카오 RAW'!$A:$A,$B73,'카카오 RAW'!$D:$D,"프리미엄링크")</f>
        <v>0</v>
      </c>
      <c r="D73" s="155">
        <f>SUMIFS('카카오 RAW'!F:F,'카카오 RAW'!$A:$A,$B73,'카카오 RAW'!$D:$D,"프리미엄링크")</f>
        <v>0</v>
      </c>
      <c r="E73" s="17">
        <f t="shared" si="13"/>
        <v>0</v>
      </c>
      <c r="F73" s="16">
        <f t="shared" si="14"/>
        <v>0</v>
      </c>
      <c r="G73" s="155">
        <f>SUMIFS('카카오 RAW'!H:H,'카카오 RAW'!$A:$A,$B73,'카카오 RAW'!$D:$D,"프리미엄링크")</f>
        <v>0</v>
      </c>
      <c r="H73" s="156">
        <f>SUMIFS('카카오 RAW'!I:I,'카카오 RAW'!$A:$A,$B73,'카카오 RAW'!$D:$D,"프리미엄링크")</f>
        <v>0</v>
      </c>
      <c r="I73" s="17">
        <f t="shared" si="11"/>
        <v>0</v>
      </c>
      <c r="J73" s="16">
        <f t="shared" si="12"/>
        <v>0</v>
      </c>
      <c r="K73" s="24"/>
      <c r="L73" s="24"/>
    </row>
    <row r="74" spans="2:12" s="129" customFormat="1">
      <c r="B74" s="27">
        <v>45797</v>
      </c>
      <c r="C74" s="155">
        <f>SUMIFS('카카오 RAW'!E:E,'카카오 RAW'!$A:$A,$B74,'카카오 RAW'!$D:$D,"프리미엄링크")</f>
        <v>0</v>
      </c>
      <c r="D74" s="155">
        <f>SUMIFS('카카오 RAW'!F:F,'카카오 RAW'!$A:$A,$B74,'카카오 RAW'!$D:$D,"프리미엄링크")</f>
        <v>0</v>
      </c>
      <c r="E74" s="17">
        <f t="shared" si="13"/>
        <v>0</v>
      </c>
      <c r="F74" s="16">
        <f t="shared" si="14"/>
        <v>0</v>
      </c>
      <c r="G74" s="155">
        <f>SUMIFS('카카오 RAW'!H:H,'카카오 RAW'!$A:$A,$B74,'카카오 RAW'!$D:$D,"프리미엄링크")</f>
        <v>0</v>
      </c>
      <c r="H74" s="156">
        <f>SUMIFS('카카오 RAW'!I:I,'카카오 RAW'!$A:$A,$B74,'카카오 RAW'!$D:$D,"프리미엄링크")</f>
        <v>0</v>
      </c>
      <c r="I74" s="17">
        <f t="shared" si="11"/>
        <v>0</v>
      </c>
      <c r="J74" s="16">
        <f t="shared" si="12"/>
        <v>0</v>
      </c>
      <c r="K74" s="24"/>
      <c r="L74" s="24"/>
    </row>
    <row r="75" spans="2:12" s="128" customFormat="1">
      <c r="B75" s="27">
        <v>45798</v>
      </c>
      <c r="C75" s="155">
        <f>SUMIFS('카카오 RAW'!E:E,'카카오 RAW'!$A:$A,$B75,'카카오 RAW'!$D:$D,"프리미엄링크")</f>
        <v>0</v>
      </c>
      <c r="D75" s="155">
        <f>SUMIFS('카카오 RAW'!F:F,'카카오 RAW'!$A:$A,$B75,'카카오 RAW'!$D:$D,"프리미엄링크")</f>
        <v>0</v>
      </c>
      <c r="E75" s="17">
        <f t="shared" si="13"/>
        <v>0</v>
      </c>
      <c r="F75" s="16">
        <f t="shared" si="14"/>
        <v>0</v>
      </c>
      <c r="G75" s="155">
        <f>SUMIFS('카카오 RAW'!H:H,'카카오 RAW'!$A:$A,$B75,'카카오 RAW'!$D:$D,"프리미엄링크")</f>
        <v>0</v>
      </c>
      <c r="H75" s="156">
        <f>SUMIFS('카카오 RAW'!I:I,'카카오 RAW'!$A:$A,$B75,'카카오 RAW'!$D:$D,"프리미엄링크")</f>
        <v>0</v>
      </c>
      <c r="I75" s="17">
        <f t="shared" si="11"/>
        <v>0</v>
      </c>
      <c r="J75" s="16">
        <f t="shared" si="12"/>
        <v>0</v>
      </c>
      <c r="K75" s="24"/>
      <c r="L75" s="24"/>
    </row>
    <row r="76" spans="2:12" s="129" customFormat="1">
      <c r="B76" s="27">
        <v>45799</v>
      </c>
      <c r="C76" s="155">
        <f>SUMIFS('카카오 RAW'!E:E,'카카오 RAW'!$A:$A,$B76,'카카오 RAW'!$D:$D,"프리미엄링크")</f>
        <v>0</v>
      </c>
      <c r="D76" s="155">
        <f>SUMIFS('카카오 RAW'!F:F,'카카오 RAW'!$A:$A,$B76,'카카오 RAW'!$D:$D,"프리미엄링크")</f>
        <v>0</v>
      </c>
      <c r="E76" s="17">
        <f t="shared" si="13"/>
        <v>0</v>
      </c>
      <c r="F76" s="16">
        <f t="shared" si="14"/>
        <v>0</v>
      </c>
      <c r="G76" s="155">
        <f>SUMIFS('카카오 RAW'!H:H,'카카오 RAW'!$A:$A,$B76,'카카오 RAW'!$D:$D,"프리미엄링크")</f>
        <v>0</v>
      </c>
      <c r="H76" s="156">
        <f>SUMIFS('카카오 RAW'!I:I,'카카오 RAW'!$A:$A,$B76,'카카오 RAW'!$D:$D,"프리미엄링크")</f>
        <v>0</v>
      </c>
      <c r="I76" s="17">
        <f t="shared" si="11"/>
        <v>0</v>
      </c>
      <c r="J76" s="16">
        <f t="shared" si="12"/>
        <v>0</v>
      </c>
      <c r="K76" s="24"/>
      <c r="L76" s="24"/>
    </row>
    <row r="77" spans="2:12" s="128" customFormat="1">
      <c r="B77" s="27">
        <v>45800</v>
      </c>
      <c r="C77" s="155">
        <f>SUMIFS('카카오 RAW'!E:E,'카카오 RAW'!$A:$A,$B77,'카카오 RAW'!$D:$D,"프리미엄링크")</f>
        <v>0</v>
      </c>
      <c r="D77" s="155">
        <f>SUMIFS('카카오 RAW'!F:F,'카카오 RAW'!$A:$A,$B77,'카카오 RAW'!$D:$D,"프리미엄링크")</f>
        <v>0</v>
      </c>
      <c r="E77" s="17">
        <f t="shared" si="13"/>
        <v>0</v>
      </c>
      <c r="F77" s="16">
        <f t="shared" si="14"/>
        <v>0</v>
      </c>
      <c r="G77" s="155">
        <f>SUMIFS('카카오 RAW'!H:H,'카카오 RAW'!$A:$A,$B77,'카카오 RAW'!$D:$D,"프리미엄링크")</f>
        <v>0</v>
      </c>
      <c r="H77" s="156">
        <f>SUMIFS('카카오 RAW'!I:I,'카카오 RAW'!$A:$A,$B77,'카카오 RAW'!$D:$D,"프리미엄링크")</f>
        <v>0</v>
      </c>
      <c r="I77" s="17">
        <f t="shared" si="11"/>
        <v>0</v>
      </c>
      <c r="J77" s="16">
        <f t="shared" si="12"/>
        <v>0</v>
      </c>
      <c r="K77" s="24"/>
      <c r="L77" s="24"/>
    </row>
    <row r="78" spans="2:12" s="129" customFormat="1">
      <c r="B78" s="153">
        <v>45801</v>
      </c>
      <c r="C78" s="157">
        <f>SUMIFS('카카오 RAW'!E:E,'카카오 RAW'!$A:$A,$B78,'카카오 RAW'!$D:$D,"프리미엄링크")</f>
        <v>0</v>
      </c>
      <c r="D78" s="157">
        <f>SUMIFS('카카오 RAW'!F:F,'카카오 RAW'!$A:$A,$B78,'카카오 RAW'!$D:$D,"프리미엄링크")</f>
        <v>0</v>
      </c>
      <c r="E78" s="158">
        <f t="shared" si="13"/>
        <v>0</v>
      </c>
      <c r="F78" s="159">
        <f t="shared" si="14"/>
        <v>0</v>
      </c>
      <c r="G78" s="157">
        <f>SUMIFS('카카오 RAW'!H:H,'카카오 RAW'!$A:$A,$B78,'카카오 RAW'!$D:$D,"프리미엄링크")</f>
        <v>0</v>
      </c>
      <c r="H78" s="160">
        <f>SUMIFS('카카오 RAW'!I:I,'카카오 RAW'!$A:$A,$B78,'카카오 RAW'!$D:$D,"프리미엄링크")</f>
        <v>0</v>
      </c>
      <c r="I78" s="158">
        <f t="shared" si="11"/>
        <v>0</v>
      </c>
      <c r="J78" s="159">
        <f t="shared" si="12"/>
        <v>0</v>
      </c>
      <c r="K78" s="24"/>
      <c r="L78" s="24"/>
    </row>
    <row r="79" spans="2:12" s="128" customFormat="1">
      <c r="B79" s="154">
        <v>45802</v>
      </c>
      <c r="C79" s="161">
        <f>SUMIFS('카카오 RAW'!E:E,'카카오 RAW'!$A:$A,$B79,'카카오 RAW'!$D:$D,"프리미엄링크")</f>
        <v>0</v>
      </c>
      <c r="D79" s="161">
        <f>SUMIFS('카카오 RAW'!F:F,'카카오 RAW'!$A:$A,$B79,'카카오 RAW'!$D:$D,"프리미엄링크")</f>
        <v>0</v>
      </c>
      <c r="E79" s="162">
        <f t="shared" si="13"/>
        <v>0</v>
      </c>
      <c r="F79" s="163">
        <f t="shared" si="14"/>
        <v>0</v>
      </c>
      <c r="G79" s="161">
        <f>SUMIFS('카카오 RAW'!H:H,'카카오 RAW'!$A:$A,$B79,'카카오 RAW'!$D:$D,"프리미엄링크")</f>
        <v>0</v>
      </c>
      <c r="H79" s="164">
        <f>SUMIFS('카카오 RAW'!I:I,'카카오 RAW'!$A:$A,$B79,'카카오 RAW'!$D:$D,"프리미엄링크")</f>
        <v>0</v>
      </c>
      <c r="I79" s="162">
        <f t="shared" si="11"/>
        <v>0</v>
      </c>
      <c r="J79" s="163">
        <f t="shared" si="12"/>
        <v>0</v>
      </c>
      <c r="K79" s="24"/>
      <c r="L79" s="24"/>
    </row>
    <row r="80" spans="2:12" s="129" customFormat="1">
      <c r="B80" s="27">
        <v>45803</v>
      </c>
      <c r="C80" s="155">
        <f>SUMIFS('카카오 RAW'!E:E,'카카오 RAW'!$A:$A,$B80,'카카오 RAW'!$D:$D,"프리미엄링크")</f>
        <v>0</v>
      </c>
      <c r="D80" s="155">
        <f>SUMIFS('카카오 RAW'!F:F,'카카오 RAW'!$A:$A,$B80,'카카오 RAW'!$D:$D,"프리미엄링크")</f>
        <v>0</v>
      </c>
      <c r="E80" s="17">
        <f t="shared" si="13"/>
        <v>0</v>
      </c>
      <c r="F80" s="16">
        <f t="shared" si="14"/>
        <v>0</v>
      </c>
      <c r="G80" s="155">
        <f>SUMIFS('카카오 RAW'!H:H,'카카오 RAW'!$A:$A,$B80,'카카오 RAW'!$D:$D,"프리미엄링크")</f>
        <v>0</v>
      </c>
      <c r="H80" s="156">
        <f>SUMIFS('카카오 RAW'!I:I,'카카오 RAW'!$A:$A,$B80,'카카오 RAW'!$D:$D,"프리미엄링크")</f>
        <v>0</v>
      </c>
      <c r="I80" s="17">
        <f t="shared" si="11"/>
        <v>0</v>
      </c>
      <c r="J80" s="16">
        <f t="shared" si="12"/>
        <v>0</v>
      </c>
      <c r="K80" s="24"/>
      <c r="L80" s="24"/>
    </row>
    <row r="81" spans="2:12" s="129" customFormat="1">
      <c r="B81" s="27">
        <v>45804</v>
      </c>
      <c r="C81" s="155">
        <f>SUMIFS('카카오 RAW'!E:E,'카카오 RAW'!$A:$A,$B81,'카카오 RAW'!$D:$D,"프리미엄링크")</f>
        <v>0</v>
      </c>
      <c r="D81" s="155">
        <f>SUMIFS('카카오 RAW'!F:F,'카카오 RAW'!$A:$A,$B81,'카카오 RAW'!$D:$D,"프리미엄링크")</f>
        <v>0</v>
      </c>
      <c r="E81" s="17">
        <f t="shared" si="13"/>
        <v>0</v>
      </c>
      <c r="F81" s="16">
        <f t="shared" si="14"/>
        <v>0</v>
      </c>
      <c r="G81" s="155">
        <f>SUMIFS('카카오 RAW'!H:H,'카카오 RAW'!$A:$A,$B81,'카카오 RAW'!$D:$D,"프리미엄링크")</f>
        <v>0</v>
      </c>
      <c r="H81" s="156">
        <f>SUMIFS('카카오 RAW'!I:I,'카카오 RAW'!$A:$A,$B81,'카카오 RAW'!$D:$D,"프리미엄링크")</f>
        <v>0</v>
      </c>
      <c r="I81" s="17">
        <f t="shared" si="11"/>
        <v>0</v>
      </c>
      <c r="J81" s="16">
        <f t="shared" si="12"/>
        <v>0</v>
      </c>
      <c r="K81" s="24"/>
      <c r="L81" s="24"/>
    </row>
    <row r="82" spans="2:12" s="129" customFormat="1">
      <c r="B82" s="27">
        <v>45805</v>
      </c>
      <c r="C82" s="155">
        <f>SUMIFS('카카오 RAW'!E:E,'카카오 RAW'!$A:$A,$B82,'카카오 RAW'!$D:$D,"프리미엄링크")</f>
        <v>0</v>
      </c>
      <c r="D82" s="155">
        <f>SUMIFS('카카오 RAW'!F:F,'카카오 RAW'!$A:$A,$B82,'카카오 RAW'!$D:$D,"프리미엄링크")</f>
        <v>0</v>
      </c>
      <c r="E82" s="17">
        <f t="shared" si="13"/>
        <v>0</v>
      </c>
      <c r="F82" s="16">
        <f t="shared" si="14"/>
        <v>0</v>
      </c>
      <c r="G82" s="155">
        <f>SUMIFS('카카오 RAW'!H:H,'카카오 RAW'!$A:$A,$B82,'카카오 RAW'!$D:$D,"프리미엄링크")</f>
        <v>0</v>
      </c>
      <c r="H82" s="156">
        <f>SUMIFS('카카오 RAW'!I:I,'카카오 RAW'!$A:$A,$B82,'카카오 RAW'!$D:$D,"프리미엄링크")</f>
        <v>0</v>
      </c>
      <c r="I82" s="17">
        <f t="shared" si="11"/>
        <v>0</v>
      </c>
      <c r="J82" s="16">
        <f t="shared" si="12"/>
        <v>0</v>
      </c>
      <c r="K82" s="24"/>
      <c r="L82" s="24"/>
    </row>
    <row r="83" spans="2:12" s="129" customFormat="1">
      <c r="B83" s="27">
        <v>45806</v>
      </c>
      <c r="C83" s="155">
        <f>SUMIFS('카카오 RAW'!E:E,'카카오 RAW'!$A:$A,$B83,'카카오 RAW'!$D:$D,"프리미엄링크")</f>
        <v>0</v>
      </c>
      <c r="D83" s="155">
        <f>SUMIFS('카카오 RAW'!F:F,'카카오 RAW'!$A:$A,$B83,'카카오 RAW'!$D:$D,"프리미엄링크")</f>
        <v>0</v>
      </c>
      <c r="E83" s="17">
        <f t="shared" si="13"/>
        <v>0</v>
      </c>
      <c r="F83" s="16">
        <f t="shared" si="14"/>
        <v>0</v>
      </c>
      <c r="G83" s="155">
        <f>SUMIFS('카카오 RAW'!H:H,'카카오 RAW'!$A:$A,$B83,'카카오 RAW'!$D:$D,"프리미엄링크")</f>
        <v>0</v>
      </c>
      <c r="H83" s="156">
        <f>SUMIFS('카카오 RAW'!I:I,'카카오 RAW'!$A:$A,$B83,'카카오 RAW'!$D:$D,"프리미엄링크")</f>
        <v>0</v>
      </c>
      <c r="I83" s="17">
        <f t="shared" si="11"/>
        <v>0</v>
      </c>
      <c r="J83" s="16">
        <f t="shared" si="12"/>
        <v>0</v>
      </c>
      <c r="K83" s="24"/>
      <c r="L83" s="24"/>
    </row>
    <row r="84" spans="2:12" s="129" customFormat="1">
      <c r="B84" s="27">
        <v>45807</v>
      </c>
      <c r="C84" s="155">
        <f>SUMIFS('카카오 RAW'!E:E,'카카오 RAW'!$A:$A,$B84,'카카오 RAW'!$D:$D,"프리미엄링크")</f>
        <v>0</v>
      </c>
      <c r="D84" s="155">
        <f>SUMIFS('카카오 RAW'!F:F,'카카오 RAW'!$A:$A,$B84,'카카오 RAW'!$D:$D,"프리미엄링크")</f>
        <v>0</v>
      </c>
      <c r="E84" s="17">
        <f t="shared" si="13"/>
        <v>0</v>
      </c>
      <c r="F84" s="16">
        <f t="shared" si="14"/>
        <v>0</v>
      </c>
      <c r="G84" s="155">
        <f>SUMIFS('카카오 RAW'!H:H,'카카오 RAW'!$A:$A,$B84,'카카오 RAW'!$D:$D,"프리미엄링크")</f>
        <v>0</v>
      </c>
      <c r="H84" s="156">
        <f>SUMIFS('카카오 RAW'!I:I,'카카오 RAW'!$A:$A,$B84,'카카오 RAW'!$D:$D,"프리미엄링크")</f>
        <v>0</v>
      </c>
      <c r="I84" s="17">
        <f t="shared" si="11"/>
        <v>0</v>
      </c>
      <c r="J84" s="16">
        <f t="shared" si="12"/>
        <v>0</v>
      </c>
      <c r="K84" s="24"/>
      <c r="L84" s="24"/>
    </row>
    <row r="85" spans="2:12">
      <c r="B85" s="153">
        <v>45808</v>
      </c>
      <c r="C85" s="157">
        <f>SUMIFS('카카오 RAW'!E:E,'카카오 RAW'!$A:$A,$B85,'카카오 RAW'!$D:$D,"프리미엄링크")</f>
        <v>0</v>
      </c>
      <c r="D85" s="157">
        <f>SUMIFS('카카오 RAW'!F:F,'카카오 RAW'!$A:$A,$B85,'카카오 RAW'!$D:$D,"프리미엄링크")</f>
        <v>0</v>
      </c>
      <c r="E85" s="158">
        <f t="shared" si="13"/>
        <v>0</v>
      </c>
      <c r="F85" s="159">
        <f t="shared" si="14"/>
        <v>0</v>
      </c>
      <c r="G85" s="157">
        <f>SUMIFS('카카오 RAW'!H:H,'카카오 RAW'!$A:$A,$B85,'카카오 RAW'!$D:$D,"프리미엄링크")</f>
        <v>0</v>
      </c>
      <c r="H85" s="160">
        <f>SUMIFS('카카오 RAW'!I:I,'카카오 RAW'!$A:$A,$B85,'카카오 RAW'!$D:$D,"프리미엄링크")</f>
        <v>0</v>
      </c>
      <c r="I85" s="158">
        <f t="shared" si="11"/>
        <v>0</v>
      </c>
      <c r="J85" s="159">
        <f t="shared" si="12"/>
        <v>0</v>
      </c>
    </row>
    <row r="88" spans="2:12">
      <c r="C88" s="1"/>
      <c r="D88" s="1"/>
      <c r="E88" s="1"/>
      <c r="F88" s="1"/>
      <c r="G88" s="1"/>
      <c r="H88" s="1"/>
      <c r="I88" s="1"/>
      <c r="J88" s="1"/>
      <c r="K88" s="1"/>
    </row>
    <row r="89" spans="2:12">
      <c r="C89" s="1"/>
      <c r="D89" s="1"/>
      <c r="E89" s="1"/>
      <c r="F89" s="1"/>
      <c r="G89" s="145"/>
      <c r="H89" s="145"/>
      <c r="I89" s="1"/>
      <c r="J89" s="1"/>
      <c r="K89" s="1"/>
    </row>
    <row r="90" spans="2:12">
      <c r="C90" s="1"/>
      <c r="D90" s="1"/>
      <c r="E90" s="1"/>
      <c r="F90" s="1"/>
      <c r="G90" s="1"/>
      <c r="H90" s="1"/>
      <c r="I90" s="1"/>
      <c r="J90" s="1"/>
      <c r="K90" s="1"/>
    </row>
    <row r="91" spans="2:12">
      <c r="F91" s="25"/>
    </row>
  </sheetData>
  <mergeCells count="22">
    <mergeCell ref="B2:J2"/>
    <mergeCell ref="B33:B34"/>
    <mergeCell ref="C33:C34"/>
    <mergeCell ref="D33:D34"/>
    <mergeCell ref="E33:E34"/>
    <mergeCell ref="F33:F34"/>
    <mergeCell ref="G33:G34"/>
    <mergeCell ref="H33:J33"/>
    <mergeCell ref="H43:J43"/>
    <mergeCell ref="B52:B53"/>
    <mergeCell ref="C52:C53"/>
    <mergeCell ref="D52:D53"/>
    <mergeCell ref="E52:E53"/>
    <mergeCell ref="F52:F53"/>
    <mergeCell ref="G52:G53"/>
    <mergeCell ref="H52:J52"/>
    <mergeCell ref="B43:B44"/>
    <mergeCell ref="C43:C44"/>
    <mergeCell ref="D43:D44"/>
    <mergeCell ref="E43:E44"/>
    <mergeCell ref="F43:F44"/>
    <mergeCell ref="G43:G4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504F-0174-453A-B3D0-668B483E5709}">
  <sheetPr codeName="Sheet9">
    <tabColor theme="7" tint="0.79998168889431442"/>
  </sheetPr>
  <dimension ref="B1:M51"/>
  <sheetViews>
    <sheetView showGridLines="0" zoomScale="85" zoomScaleNormal="85" workbookViewId="0">
      <selection activeCell="K66" sqref="K66"/>
    </sheetView>
  </sheetViews>
  <sheetFormatPr defaultColWidth="11.625" defaultRowHeight="13.5"/>
  <cols>
    <col min="1" max="1" width="3.125" style="24" customWidth="1"/>
    <col min="2" max="2" width="30.25" style="24" bestFit="1" customWidth="1"/>
    <col min="3" max="3" width="20.875" style="24" bestFit="1" customWidth="1"/>
    <col min="4" max="12" width="11.625" style="24" customWidth="1"/>
    <col min="13" max="16384" width="11.625" style="24"/>
  </cols>
  <sheetData>
    <row r="1" spans="2:13" s="1" customFormat="1"/>
    <row r="2" spans="2:13" s="1" customFormat="1" ht="32.25" customHeight="1" thickBot="1">
      <c r="B2" s="242" t="s">
        <v>356</v>
      </c>
      <c r="C2" s="242"/>
      <c r="D2" s="242"/>
      <c r="E2" s="242"/>
      <c r="F2" s="242"/>
      <c r="G2" s="242"/>
      <c r="H2" s="242"/>
      <c r="I2" s="242"/>
      <c r="J2" s="242"/>
      <c r="K2" s="242"/>
    </row>
    <row r="3" spans="2:13" s="1" customFormat="1" ht="14.25" thickTop="1">
      <c r="D3" s="19"/>
      <c r="M3" s="20"/>
    </row>
    <row r="4" spans="2:13" s="1" customFormat="1">
      <c r="B4" s="5" t="s">
        <v>55</v>
      </c>
      <c r="L4" s="20"/>
    </row>
    <row r="5" spans="2:13" s="1" customFormat="1" ht="16.5" customHeight="1">
      <c r="B5" s="224" t="s">
        <v>37</v>
      </c>
      <c r="C5" s="225"/>
      <c r="D5" s="206" t="s">
        <v>8</v>
      </c>
      <c r="E5" s="206" t="s">
        <v>9</v>
      </c>
      <c r="F5" s="206" t="s">
        <v>58</v>
      </c>
      <c r="G5" s="206" t="s">
        <v>11</v>
      </c>
      <c r="H5" s="206" t="s">
        <v>12</v>
      </c>
      <c r="I5" s="207" t="s">
        <v>13</v>
      </c>
      <c r="J5" s="208"/>
      <c r="K5" s="208"/>
      <c r="L5" s="20"/>
    </row>
    <row r="6" spans="2:13" s="1" customFormat="1">
      <c r="B6" s="226"/>
      <c r="C6" s="227"/>
      <c r="D6" s="206"/>
      <c r="E6" s="206"/>
      <c r="F6" s="206"/>
      <c r="G6" s="206"/>
      <c r="H6" s="206"/>
      <c r="I6" s="6" t="s">
        <v>43</v>
      </c>
      <c r="J6" s="7" t="s">
        <v>59</v>
      </c>
      <c r="K6" s="29" t="s">
        <v>44</v>
      </c>
      <c r="L6" s="20"/>
    </row>
    <row r="7" spans="2:13" s="1" customFormat="1" ht="16.5" customHeight="1">
      <c r="B7" s="228" t="s">
        <v>63</v>
      </c>
      <c r="C7" s="229"/>
      <c r="D7" s="22">
        <f>SUMIFS('카카오 RAW'!E:E,'카카오 RAW'!$D:$D,"프리미엄링크",'카카오 RAW'!$B:$B,카카오_상세데이터!$B7)</f>
        <v>36640</v>
      </c>
      <c r="E7" s="22">
        <f>SUMIFS('카카오 RAW'!F:F,'카카오 RAW'!$D:$D,"프리미엄링크",'카카오 RAW'!$B:$B,카카오_상세데이터!$B7)</f>
        <v>147</v>
      </c>
      <c r="F7" s="17">
        <f t="shared" ref="F7:F9" si="0">IFERROR(E7/D7,)</f>
        <v>4.0120087336244538E-3</v>
      </c>
      <c r="G7" s="16">
        <f t="shared" ref="G7:G9" si="1">IFERROR(H7/E7,0)</f>
        <v>77.000000000000014</v>
      </c>
      <c r="H7" s="22">
        <f>SUMIFS('카카오 RAW'!H:H,'카카오 RAW'!$D:$D,"프리미엄링크",'카카오 RAW'!$B:$B,카카오_상세데이터!$B7)</f>
        <v>11319.000000000002</v>
      </c>
      <c r="I7" s="22">
        <f>SUMIFS('카카오 RAW'!I:I,'카카오 RAW'!$D:$D,"프리미엄링크",'카카오 RAW'!$B:$B,카카오_상세데이터!$B7)</f>
        <v>0</v>
      </c>
      <c r="J7" s="8">
        <f>IFERROR(I7/E7,0)</f>
        <v>0</v>
      </c>
      <c r="K7" s="2">
        <f>IFERROR(H7/I7,0)</f>
        <v>0</v>
      </c>
      <c r="L7" s="20"/>
    </row>
    <row r="8" spans="2:13" s="1" customFormat="1" ht="16.5" customHeight="1">
      <c r="B8" s="230" t="s">
        <v>65</v>
      </c>
      <c r="C8" s="231"/>
      <c r="D8" s="22">
        <f>SUMIFS('카카오 RAW'!E:E,'카카오 RAW'!$D:$D,"프리미엄링크",'카카오 RAW'!$B:$B,카카오_상세데이터!$B8)</f>
        <v>132734</v>
      </c>
      <c r="E8" s="22">
        <f>SUMIFS('카카오 RAW'!F:F,'카카오 RAW'!$D:$D,"프리미엄링크",'카카오 RAW'!$B:$B,카카오_상세데이터!$B8)</f>
        <v>479</v>
      </c>
      <c r="F8" s="17">
        <f t="shared" ref="F8" si="2">IFERROR(E8/D8,)</f>
        <v>3.6087212018021003E-3</v>
      </c>
      <c r="G8" s="16">
        <f t="shared" ref="G8" si="3">IFERROR(H8/E8,0)</f>
        <v>77</v>
      </c>
      <c r="H8" s="22">
        <f>SUMIFS('카카오 RAW'!H:H,'카카오 RAW'!$D:$D,"프리미엄링크",'카카오 RAW'!$B:$B,카카오_상세데이터!$B8)</f>
        <v>36883</v>
      </c>
      <c r="I8" s="22">
        <f>SUMIFS('카카오 RAW'!I:I,'카카오 RAW'!$D:$D,"프리미엄링크",'카카오 RAW'!$B:$B,카카오_상세데이터!$B8)</f>
        <v>0</v>
      </c>
      <c r="J8" s="8">
        <f t="shared" ref="J8" si="4">IFERROR(I8/E8,0)</f>
        <v>0</v>
      </c>
      <c r="K8" s="2">
        <f t="shared" ref="K8" si="5">IFERROR(H8/I8,0)</f>
        <v>0</v>
      </c>
      <c r="L8" s="20"/>
    </row>
    <row r="9" spans="2:13" s="1" customFormat="1" ht="16.5" customHeight="1">
      <c r="B9" s="220" t="s">
        <v>17</v>
      </c>
      <c r="C9" s="221"/>
      <c r="D9" s="10">
        <f>SUM(D7:D8)</f>
        <v>169374</v>
      </c>
      <c r="E9" s="10">
        <f>SUM(E7:E8)</f>
        <v>626</v>
      </c>
      <c r="F9" s="11">
        <f t="shared" si="0"/>
        <v>3.6959627805920625E-3</v>
      </c>
      <c r="G9" s="10">
        <f t="shared" si="1"/>
        <v>77</v>
      </c>
      <c r="H9" s="10">
        <f>SUM(H7:H8)</f>
        <v>48202</v>
      </c>
      <c r="I9" s="10">
        <f>SUM(I7:I8)</f>
        <v>0</v>
      </c>
      <c r="J9" s="11">
        <f>IFERROR(I9/E9,0)</f>
        <v>0</v>
      </c>
      <c r="K9" s="10">
        <f>IFERROR(H9/I9,0)</f>
        <v>0</v>
      </c>
      <c r="L9" s="20"/>
    </row>
    <row r="10" spans="2:13" s="1" customFormat="1">
      <c r="C10" s="19"/>
      <c r="L10" s="20"/>
    </row>
    <row r="11" spans="2:13" s="1" customFormat="1" hidden="1">
      <c r="B11" s="5" t="s">
        <v>39</v>
      </c>
      <c r="D11" s="21"/>
    </row>
    <row r="12" spans="2:13" s="1" customFormat="1" hidden="1">
      <c r="B12" s="224" t="s">
        <v>37</v>
      </c>
      <c r="C12" s="225"/>
      <c r="D12" s="206" t="s">
        <v>8</v>
      </c>
      <c r="E12" s="206" t="s">
        <v>9</v>
      </c>
      <c r="F12" s="206" t="s">
        <v>58</v>
      </c>
      <c r="G12" s="206" t="s">
        <v>11</v>
      </c>
      <c r="H12" s="206" t="s">
        <v>12</v>
      </c>
      <c r="I12" s="207" t="s">
        <v>13</v>
      </c>
      <c r="J12" s="208"/>
      <c r="K12" s="208"/>
      <c r="L12" s="20"/>
    </row>
    <row r="13" spans="2:13" s="1" customFormat="1" hidden="1">
      <c r="B13" s="226"/>
      <c r="C13" s="227"/>
      <c r="D13" s="206"/>
      <c r="E13" s="206"/>
      <c r="F13" s="206"/>
      <c r="G13" s="206"/>
      <c r="H13" s="206"/>
      <c r="I13" s="6" t="s">
        <v>43</v>
      </c>
      <c r="J13" s="7" t="s">
        <v>59</v>
      </c>
      <c r="K13" s="29" t="s">
        <v>44</v>
      </c>
    </row>
    <row r="14" spans="2:13" s="1" customFormat="1" ht="16.5" hidden="1" customHeight="1">
      <c r="B14" s="228" t="s">
        <v>357</v>
      </c>
      <c r="C14" s="229"/>
      <c r="D14" s="22" t="e">
        <f>SUMIFS('[1]카카오 RAW'!N:N,'[1]카카오 RAW'!$F:$F,"카카오",'[1]카카오 RAW'!$D:$D,카카오_상세데이터!$B14)</f>
        <v>#VALUE!</v>
      </c>
      <c r="E14" s="22" t="e">
        <f>SUMIFS('[1]카카오 RAW'!O:O,'[1]카카오 RAW'!$F:$F,"카카오",'[1]카카오 RAW'!$D:$D,카카오_상세데이터!$B14)</f>
        <v>#VALUE!</v>
      </c>
      <c r="F14" s="17">
        <f t="shared" ref="F14:F19" si="6">IFERROR(E14/D14,)</f>
        <v>0</v>
      </c>
      <c r="G14" s="16">
        <f t="shared" ref="G14:G19" si="7">IFERROR(H14/E14,0)</f>
        <v>0</v>
      </c>
      <c r="H14" s="22" t="e">
        <f>SUMIFS('[1]카카오 RAW'!P:P,'[1]카카오 RAW'!$F:$F,"카카오",'[1]카카오 RAW'!$D:$D,카카오_상세데이터!$B14)</f>
        <v>#VALUE!</v>
      </c>
      <c r="I14" s="22" t="e">
        <f>SUMIFS('[1]파워링크 RAW'!Q:Q,'[1]파워링크 RAW'!$F:$F,"파워링크",'[1]파워링크 RAW'!$D:$D,카카오_상세데이터!$B14)</f>
        <v>#VALUE!</v>
      </c>
      <c r="J14" s="8">
        <f>IFERROR(I14/E14,0)</f>
        <v>0</v>
      </c>
      <c r="K14" s="2">
        <f>IFERROR(H14/I14,0)</f>
        <v>0</v>
      </c>
    </row>
    <row r="15" spans="2:13" s="1" customFormat="1" ht="16.5" hidden="1" customHeight="1">
      <c r="B15" s="230" t="s">
        <v>358</v>
      </c>
      <c r="C15" s="231"/>
      <c r="D15" s="22" t="e">
        <f>SUMIFS('[1]카카오 RAW'!N:N,'[1]카카오 RAW'!$F:$F,"카카오",'[1]카카오 RAW'!$D:$D,카카오_상세데이터!$B15)</f>
        <v>#VALUE!</v>
      </c>
      <c r="E15" s="22" t="e">
        <f>SUMIFS('[1]카카오 RAW'!O:O,'[1]카카오 RAW'!$F:$F,"카카오",'[1]카카오 RAW'!$D:$D,카카오_상세데이터!$B15)</f>
        <v>#VALUE!</v>
      </c>
      <c r="F15" s="17">
        <f t="shared" si="6"/>
        <v>0</v>
      </c>
      <c r="G15" s="16">
        <f t="shared" si="7"/>
        <v>0</v>
      </c>
      <c r="H15" s="22" t="e">
        <f>SUMIFS('[1]카카오 RAW'!P:P,'[1]카카오 RAW'!$F:$F,"카카오",'[1]카카오 RAW'!$D:$D,카카오_상세데이터!$B15)</f>
        <v>#VALUE!</v>
      </c>
      <c r="I15" s="22" t="e">
        <f>SUMIFS('[1]파워링크 RAW'!Q:Q,'[1]파워링크 RAW'!$F:$F,"파워링크",'[1]파워링크 RAW'!$D:$D,카카오_상세데이터!$B15)</f>
        <v>#VALUE!</v>
      </c>
      <c r="J15" s="8">
        <f t="shared" ref="J15:J18" si="8">IFERROR(I15/E15,0)</f>
        <v>0</v>
      </c>
      <c r="K15" s="2">
        <f t="shared" ref="K15:K18" si="9">IFERROR(H15/I15,0)</f>
        <v>0</v>
      </c>
      <c r="L15" s="33"/>
      <c r="M15" s="20"/>
    </row>
    <row r="16" spans="2:13" s="1" customFormat="1" ht="16.5" hidden="1" customHeight="1">
      <c r="B16" s="230" t="s">
        <v>359</v>
      </c>
      <c r="C16" s="231"/>
      <c r="D16" s="22" t="e">
        <f>SUMIFS('[1]카카오 RAW'!N:N,'[1]카카오 RAW'!$F:$F,"카카오",'[1]카카오 RAW'!$D:$D,카카오_상세데이터!$B16)</f>
        <v>#VALUE!</v>
      </c>
      <c r="E16" s="22" t="e">
        <f>SUMIFS('[1]카카오 RAW'!O:O,'[1]카카오 RAW'!$F:$F,"카카오",'[1]카카오 RAW'!$D:$D,카카오_상세데이터!$B16)</f>
        <v>#VALUE!</v>
      </c>
      <c r="F16" s="17">
        <f t="shared" si="6"/>
        <v>0</v>
      </c>
      <c r="G16" s="16">
        <f t="shared" si="7"/>
        <v>0</v>
      </c>
      <c r="H16" s="22" t="e">
        <f>SUMIFS('[1]카카오 RAW'!P:P,'[1]카카오 RAW'!$F:$F,"카카오",'[1]카카오 RAW'!$D:$D,카카오_상세데이터!$B16)</f>
        <v>#VALUE!</v>
      </c>
      <c r="I16" s="22" t="e">
        <f>SUMIFS('[1]파워링크 RAW'!Q:Q,'[1]파워링크 RAW'!$F:$F,"파워링크",'[1]파워링크 RAW'!$D:$D,카카오_상세데이터!$B16)</f>
        <v>#VALUE!</v>
      </c>
      <c r="J16" s="8">
        <f t="shared" si="8"/>
        <v>0</v>
      </c>
      <c r="K16" s="2">
        <f t="shared" si="9"/>
        <v>0</v>
      </c>
      <c r="L16" s="33"/>
      <c r="M16" s="20"/>
    </row>
    <row r="17" spans="2:13" s="1" customFormat="1" ht="16.5" hidden="1" customHeight="1">
      <c r="B17" s="230" t="s">
        <v>360</v>
      </c>
      <c r="C17" s="231"/>
      <c r="D17" s="22" t="e">
        <f>SUMIFS('[1]카카오 RAW'!N:N,'[1]카카오 RAW'!$F:$F,"카카오",'[1]카카오 RAW'!$D:$D,카카오_상세데이터!$B17)</f>
        <v>#VALUE!</v>
      </c>
      <c r="E17" s="22" t="e">
        <f>SUMIFS('[1]카카오 RAW'!O:O,'[1]카카오 RAW'!$F:$F,"카카오",'[1]카카오 RAW'!$D:$D,카카오_상세데이터!$B17)</f>
        <v>#VALUE!</v>
      </c>
      <c r="F17" s="17">
        <f t="shared" si="6"/>
        <v>0</v>
      </c>
      <c r="G17" s="16">
        <f t="shared" si="7"/>
        <v>0</v>
      </c>
      <c r="H17" s="22" t="e">
        <f>SUMIFS('[1]카카오 RAW'!P:P,'[1]카카오 RAW'!$F:$F,"카카오",'[1]카카오 RAW'!$D:$D,카카오_상세데이터!$B17)</f>
        <v>#VALUE!</v>
      </c>
      <c r="I17" s="22" t="e">
        <f>SUMIFS('[1]파워링크 RAW'!Q:Q,'[1]파워링크 RAW'!$F:$F,"파워링크",'[1]파워링크 RAW'!$D:$D,카카오_상세데이터!$B17)</f>
        <v>#VALUE!</v>
      </c>
      <c r="J17" s="8">
        <f t="shared" si="8"/>
        <v>0</v>
      </c>
      <c r="K17" s="2">
        <f t="shared" si="9"/>
        <v>0</v>
      </c>
      <c r="L17" s="33"/>
      <c r="M17" s="20"/>
    </row>
    <row r="18" spans="2:13" s="1" customFormat="1" ht="16.5" hidden="1" customHeight="1">
      <c r="B18" s="230" t="s">
        <v>361</v>
      </c>
      <c r="C18" s="231"/>
      <c r="D18" s="22" t="e">
        <f>SUMIFS('[1]카카오 RAW'!N:N,'[1]카카오 RAW'!$F:$F,"카카오",'[1]카카오 RAW'!$D:$D,카카오_상세데이터!$B18)</f>
        <v>#VALUE!</v>
      </c>
      <c r="E18" s="22" t="e">
        <f>SUMIFS('[1]카카오 RAW'!O:O,'[1]카카오 RAW'!$F:$F,"카카오",'[1]카카오 RAW'!$D:$D,카카오_상세데이터!$B18)</f>
        <v>#VALUE!</v>
      </c>
      <c r="F18" s="17">
        <f t="shared" si="6"/>
        <v>0</v>
      </c>
      <c r="G18" s="16">
        <f t="shared" si="7"/>
        <v>0</v>
      </c>
      <c r="H18" s="22" t="e">
        <f>SUMIFS('[1]카카오 RAW'!P:P,'[1]카카오 RAW'!$F:$F,"카카오",'[1]카카오 RAW'!$D:$D,카카오_상세데이터!$B18)</f>
        <v>#VALUE!</v>
      </c>
      <c r="I18" s="22" t="e">
        <f>SUMIFS('[1]파워링크 RAW'!Q:Q,'[1]파워링크 RAW'!$F:$F,"파워링크",'[1]파워링크 RAW'!$D:$D,카카오_상세데이터!$B18)</f>
        <v>#VALUE!</v>
      </c>
      <c r="J18" s="8">
        <f t="shared" si="8"/>
        <v>0</v>
      </c>
      <c r="K18" s="2">
        <f t="shared" si="9"/>
        <v>0</v>
      </c>
      <c r="L18" s="33"/>
      <c r="M18" s="20"/>
    </row>
    <row r="19" spans="2:13" s="1" customFormat="1" hidden="1">
      <c r="B19" s="220" t="s">
        <v>17</v>
      </c>
      <c r="C19" s="221"/>
      <c r="D19" s="10" t="e">
        <f>SUM(D14:D18)</f>
        <v>#VALUE!</v>
      </c>
      <c r="E19" s="10" t="e">
        <f>SUM(E14:E18)</f>
        <v>#VALUE!</v>
      </c>
      <c r="F19" s="11">
        <f t="shared" si="6"/>
        <v>0</v>
      </c>
      <c r="G19" s="10">
        <f t="shared" si="7"/>
        <v>0</v>
      </c>
      <c r="H19" s="10" t="e">
        <f>SUM(H14:H18)</f>
        <v>#VALUE!</v>
      </c>
      <c r="I19" s="10" t="e">
        <f>SUM(I14:I18)</f>
        <v>#VALUE!</v>
      </c>
      <c r="J19" s="11">
        <f>IFERROR(I19/E19,0)</f>
        <v>0</v>
      </c>
      <c r="K19" s="10">
        <f>IFERROR(H19/I19,0)</f>
        <v>0</v>
      </c>
    </row>
    <row r="20" spans="2:13" s="1" customFormat="1"/>
    <row r="21" spans="2:13" s="1" customFormat="1" ht="13.5" customHeight="1">
      <c r="B21" s="5" t="s">
        <v>61</v>
      </c>
      <c r="K21" s="49" t="s">
        <v>68</v>
      </c>
    </row>
    <row r="22" spans="2:13" s="1" customFormat="1" ht="13.5" customHeight="1">
      <c r="B22" s="204" t="s">
        <v>37</v>
      </c>
      <c r="C22" s="204" t="s">
        <v>66</v>
      </c>
      <c r="D22" s="206" t="s">
        <v>8</v>
      </c>
      <c r="E22" s="206" t="s">
        <v>9</v>
      </c>
      <c r="F22" s="206" t="s">
        <v>58</v>
      </c>
      <c r="G22" s="206" t="s">
        <v>11</v>
      </c>
      <c r="H22" s="206" t="s">
        <v>12</v>
      </c>
      <c r="I22" s="207" t="s">
        <v>13</v>
      </c>
      <c r="J22" s="208"/>
      <c r="K22" s="208"/>
    </row>
    <row r="23" spans="2:13" s="1" customFormat="1" ht="13.5" customHeight="1">
      <c r="B23" s="204"/>
      <c r="C23" s="204"/>
      <c r="D23" s="206"/>
      <c r="E23" s="206"/>
      <c r="F23" s="206"/>
      <c r="G23" s="206"/>
      <c r="H23" s="206"/>
      <c r="I23" s="6" t="s">
        <v>43</v>
      </c>
      <c r="J23" s="7" t="s">
        <v>59</v>
      </c>
      <c r="K23" s="29" t="s">
        <v>44</v>
      </c>
    </row>
    <row r="24" spans="2:13" s="1" customFormat="1" ht="19.5" customHeight="1">
      <c r="B24" s="4" t="s">
        <v>368</v>
      </c>
      <c r="C24" s="4" t="s">
        <v>422</v>
      </c>
      <c r="D24" s="23">
        <v>169266</v>
      </c>
      <c r="E24" s="23">
        <v>626</v>
      </c>
      <c r="F24" s="17">
        <f t="shared" ref="F24:F46" si="10">IFERROR(E24/D24,)</f>
        <v>3.6983209859038435E-3</v>
      </c>
      <c r="G24" s="16">
        <f t="shared" ref="G24:G46" si="11">IFERROR(H24/E24,0)</f>
        <v>77</v>
      </c>
      <c r="H24" s="23">
        <v>48202</v>
      </c>
      <c r="I24" s="23">
        <v>0</v>
      </c>
      <c r="J24" s="8">
        <f t="shared" ref="J24:J46" si="12">IFERROR(I24/E24,0)</f>
        <v>0</v>
      </c>
      <c r="K24" s="2">
        <f t="shared" ref="K24:K46" si="13">IFERROR(H24/I24,0)</f>
        <v>0</v>
      </c>
      <c r="M24" s="136"/>
    </row>
    <row r="25" spans="2:13" s="1" customFormat="1" ht="19.5" customHeight="1">
      <c r="B25" s="4" t="s">
        <v>368</v>
      </c>
      <c r="C25" s="4" t="s">
        <v>421</v>
      </c>
      <c r="D25" s="23">
        <v>108</v>
      </c>
      <c r="E25" s="23">
        <v>0</v>
      </c>
      <c r="F25" s="17">
        <f t="shared" si="10"/>
        <v>0</v>
      </c>
      <c r="G25" s="16">
        <f t="shared" si="11"/>
        <v>0</v>
      </c>
      <c r="H25" s="23">
        <v>0</v>
      </c>
      <c r="I25" s="23">
        <v>0</v>
      </c>
      <c r="J25" s="8">
        <f t="shared" si="12"/>
        <v>0</v>
      </c>
      <c r="K25" s="2">
        <f t="shared" si="13"/>
        <v>0</v>
      </c>
      <c r="M25" s="136"/>
    </row>
    <row r="26" spans="2:13" s="1" customFormat="1" ht="19.5" hidden="1" customHeight="1">
      <c r="B26" s="4"/>
      <c r="C26" s="4"/>
      <c r="D26" s="23"/>
      <c r="E26" s="23"/>
      <c r="F26" s="17"/>
      <c r="G26" s="16"/>
      <c r="H26" s="23"/>
      <c r="I26" s="23"/>
      <c r="J26" s="8"/>
      <c r="K26" s="2"/>
      <c r="M26" s="136"/>
    </row>
    <row r="27" spans="2:13" s="1" customFormat="1" ht="19.5" hidden="1" customHeight="1">
      <c r="B27" s="4"/>
      <c r="C27" s="4"/>
      <c r="D27" s="23"/>
      <c r="E27" s="23"/>
      <c r="F27" s="17"/>
      <c r="G27" s="16"/>
      <c r="H27" s="23"/>
      <c r="I27" s="23"/>
      <c r="J27" s="8"/>
      <c r="K27" s="2"/>
      <c r="M27" s="136"/>
    </row>
    <row r="28" spans="2:13" s="1" customFormat="1" ht="19.5" hidden="1" customHeight="1">
      <c r="B28" s="4"/>
      <c r="C28" s="4"/>
      <c r="D28" s="23"/>
      <c r="E28" s="23"/>
      <c r="F28" s="17"/>
      <c r="G28" s="16"/>
      <c r="H28" s="23"/>
      <c r="I28" s="23"/>
      <c r="J28" s="8"/>
      <c r="K28" s="2"/>
      <c r="M28" s="136"/>
    </row>
    <row r="29" spans="2:13" s="1" customFormat="1" ht="19.5" hidden="1" customHeight="1">
      <c r="B29" s="4"/>
      <c r="C29" s="4"/>
      <c r="D29" s="23"/>
      <c r="E29" s="23"/>
      <c r="F29" s="17"/>
      <c r="G29" s="16"/>
      <c r="H29" s="23"/>
      <c r="I29" s="23"/>
      <c r="J29" s="8"/>
      <c r="K29" s="2"/>
      <c r="M29" s="136"/>
    </row>
    <row r="30" spans="2:13" s="1" customFormat="1" ht="19.5" hidden="1" customHeight="1">
      <c r="B30" s="4"/>
      <c r="C30" s="4"/>
      <c r="D30" s="23"/>
      <c r="E30" s="23"/>
      <c r="F30" s="17"/>
      <c r="G30" s="16"/>
      <c r="H30" s="23"/>
      <c r="I30" s="23"/>
      <c r="J30" s="8"/>
      <c r="K30" s="2"/>
      <c r="M30" s="136"/>
    </row>
    <row r="31" spans="2:13" s="1" customFormat="1" ht="19.5" hidden="1" customHeight="1">
      <c r="B31" s="4"/>
      <c r="C31" s="4"/>
      <c r="D31" s="23"/>
      <c r="E31" s="23"/>
      <c r="F31" s="17"/>
      <c r="G31" s="16"/>
      <c r="H31" s="23"/>
      <c r="I31" s="23"/>
      <c r="J31" s="8"/>
      <c r="K31" s="2"/>
    </row>
    <row r="32" spans="2:13" s="1" customFormat="1" ht="19.5" hidden="1" customHeight="1">
      <c r="B32" s="4"/>
      <c r="C32" s="4"/>
      <c r="D32" s="23"/>
      <c r="E32" s="23"/>
      <c r="F32" s="17"/>
      <c r="G32" s="16"/>
      <c r="H32" s="23"/>
      <c r="I32" s="23"/>
      <c r="J32" s="8"/>
      <c r="K32" s="2"/>
    </row>
    <row r="33" spans="2:11" s="1" customFormat="1" ht="19.5" hidden="1" customHeight="1">
      <c r="B33" s="4"/>
      <c r="C33" s="4"/>
      <c r="D33" s="23"/>
      <c r="E33" s="23"/>
      <c r="F33" s="17"/>
      <c r="G33" s="16"/>
      <c r="H33" s="23"/>
      <c r="I33" s="23"/>
      <c r="J33" s="8"/>
      <c r="K33" s="2"/>
    </row>
    <row r="34" spans="2:11" s="1" customFormat="1" ht="19.5" hidden="1" customHeight="1">
      <c r="B34" s="4"/>
      <c r="C34" s="4"/>
      <c r="D34" s="23"/>
      <c r="E34" s="23"/>
      <c r="F34" s="17"/>
      <c r="G34" s="16"/>
      <c r="H34" s="23"/>
      <c r="I34" s="23"/>
      <c r="J34" s="8"/>
      <c r="K34" s="2"/>
    </row>
    <row r="35" spans="2:11" s="1" customFormat="1" ht="19.5" hidden="1" customHeight="1">
      <c r="B35" s="4"/>
      <c r="C35" s="4"/>
      <c r="D35" s="23"/>
      <c r="E35" s="23">
        <v>0</v>
      </c>
      <c r="F35" s="17">
        <f t="shared" si="10"/>
        <v>0</v>
      </c>
      <c r="G35" s="16">
        <f t="shared" si="11"/>
        <v>0</v>
      </c>
      <c r="H35" s="23">
        <v>0</v>
      </c>
      <c r="I35" s="23">
        <v>0</v>
      </c>
      <c r="J35" s="8">
        <f t="shared" si="12"/>
        <v>0</v>
      </c>
      <c r="K35" s="2">
        <f t="shared" si="13"/>
        <v>0</v>
      </c>
    </row>
    <row r="36" spans="2:11" s="1" customFormat="1" ht="19.5" hidden="1" customHeight="1">
      <c r="B36" s="4"/>
      <c r="C36" s="4"/>
      <c r="D36" s="23"/>
      <c r="E36" s="23">
        <v>0</v>
      </c>
      <c r="F36" s="17">
        <f t="shared" si="10"/>
        <v>0</v>
      </c>
      <c r="G36" s="16">
        <f t="shared" si="11"/>
        <v>0</v>
      </c>
      <c r="H36" s="23">
        <v>0</v>
      </c>
      <c r="I36" s="23">
        <v>0</v>
      </c>
      <c r="J36" s="8">
        <f t="shared" si="12"/>
        <v>0</v>
      </c>
      <c r="K36" s="2">
        <f t="shared" si="13"/>
        <v>0</v>
      </c>
    </row>
    <row r="37" spans="2:11" s="1" customFormat="1" ht="19.5" hidden="1" customHeight="1">
      <c r="B37" s="4"/>
      <c r="C37" s="4"/>
      <c r="D37" s="23"/>
      <c r="E37" s="23">
        <v>0</v>
      </c>
      <c r="F37" s="17">
        <f t="shared" si="10"/>
        <v>0</v>
      </c>
      <c r="G37" s="16">
        <f t="shared" si="11"/>
        <v>0</v>
      </c>
      <c r="H37" s="23">
        <v>0</v>
      </c>
      <c r="I37" s="23">
        <v>0</v>
      </c>
      <c r="J37" s="8">
        <f t="shared" si="12"/>
        <v>0</v>
      </c>
      <c r="K37" s="2">
        <f t="shared" si="13"/>
        <v>0</v>
      </c>
    </row>
    <row r="38" spans="2:11" s="1" customFormat="1" ht="19.5" hidden="1" customHeight="1">
      <c r="B38" s="4"/>
      <c r="C38" s="4"/>
      <c r="D38" s="23"/>
      <c r="E38" s="23">
        <v>0</v>
      </c>
      <c r="F38" s="17">
        <f t="shared" si="10"/>
        <v>0</v>
      </c>
      <c r="G38" s="16">
        <f t="shared" si="11"/>
        <v>0</v>
      </c>
      <c r="H38" s="23">
        <v>0</v>
      </c>
      <c r="I38" s="23">
        <v>0</v>
      </c>
      <c r="J38" s="8">
        <f t="shared" si="12"/>
        <v>0</v>
      </c>
      <c r="K38" s="2">
        <f t="shared" si="13"/>
        <v>0</v>
      </c>
    </row>
    <row r="39" spans="2:11" s="1" customFormat="1" ht="19.5" hidden="1" customHeight="1">
      <c r="B39" s="4"/>
      <c r="C39" s="4"/>
      <c r="D39" s="23"/>
      <c r="E39" s="23">
        <v>0</v>
      </c>
      <c r="F39" s="17">
        <f t="shared" si="10"/>
        <v>0</v>
      </c>
      <c r="G39" s="16">
        <f t="shared" si="11"/>
        <v>0</v>
      </c>
      <c r="H39" s="23">
        <v>0</v>
      </c>
      <c r="I39" s="23">
        <v>0</v>
      </c>
      <c r="J39" s="8">
        <f t="shared" si="12"/>
        <v>0</v>
      </c>
      <c r="K39" s="2">
        <f t="shared" si="13"/>
        <v>0</v>
      </c>
    </row>
    <row r="40" spans="2:11" s="1" customFormat="1" ht="19.5" hidden="1" customHeight="1">
      <c r="B40" s="4"/>
      <c r="C40" s="4"/>
      <c r="D40" s="23"/>
      <c r="E40" s="23">
        <v>0</v>
      </c>
      <c r="F40" s="17">
        <f t="shared" si="10"/>
        <v>0</v>
      </c>
      <c r="G40" s="16">
        <f t="shared" si="11"/>
        <v>0</v>
      </c>
      <c r="H40" s="23">
        <v>0</v>
      </c>
      <c r="I40" s="23">
        <v>0</v>
      </c>
      <c r="J40" s="8">
        <f t="shared" si="12"/>
        <v>0</v>
      </c>
      <c r="K40" s="2">
        <f t="shared" si="13"/>
        <v>0</v>
      </c>
    </row>
    <row r="41" spans="2:11" s="1" customFormat="1" ht="19.5" hidden="1" customHeight="1">
      <c r="B41" s="4"/>
      <c r="C41" s="4"/>
      <c r="D41" s="23"/>
      <c r="E41" s="23"/>
      <c r="F41" s="17">
        <f t="shared" si="10"/>
        <v>0</v>
      </c>
      <c r="G41" s="16">
        <f t="shared" si="11"/>
        <v>0</v>
      </c>
      <c r="H41" s="23">
        <v>0</v>
      </c>
      <c r="I41" s="23">
        <v>0</v>
      </c>
      <c r="J41" s="8">
        <f t="shared" si="12"/>
        <v>0</v>
      </c>
      <c r="K41" s="2">
        <f t="shared" si="13"/>
        <v>0</v>
      </c>
    </row>
    <row r="42" spans="2:11" s="1" customFormat="1" ht="19.5" hidden="1" customHeight="1">
      <c r="B42" s="4"/>
      <c r="C42" s="4"/>
      <c r="D42" s="23"/>
      <c r="E42" s="23"/>
      <c r="F42" s="17">
        <f t="shared" si="10"/>
        <v>0</v>
      </c>
      <c r="G42" s="16">
        <f t="shared" si="11"/>
        <v>0</v>
      </c>
      <c r="H42" s="23">
        <v>0</v>
      </c>
      <c r="I42" s="23">
        <v>0</v>
      </c>
      <c r="J42" s="8">
        <f t="shared" si="12"/>
        <v>0</v>
      </c>
      <c r="K42" s="2">
        <f t="shared" si="13"/>
        <v>0</v>
      </c>
    </row>
    <row r="43" spans="2:11" s="1" customFormat="1" ht="19.5" hidden="1" customHeight="1">
      <c r="B43" s="4"/>
      <c r="C43" s="4"/>
      <c r="D43" s="23"/>
      <c r="E43" s="23"/>
      <c r="F43" s="17">
        <f t="shared" si="10"/>
        <v>0</v>
      </c>
      <c r="G43" s="16">
        <f t="shared" si="11"/>
        <v>0</v>
      </c>
      <c r="H43" s="23">
        <v>0</v>
      </c>
      <c r="I43" s="23">
        <v>0</v>
      </c>
      <c r="J43" s="8">
        <f t="shared" si="12"/>
        <v>0</v>
      </c>
      <c r="K43" s="2">
        <f t="shared" si="13"/>
        <v>0</v>
      </c>
    </row>
    <row r="44" spans="2:11" s="1" customFormat="1" ht="19.5" hidden="1" customHeight="1">
      <c r="B44" s="4"/>
      <c r="C44" s="4"/>
      <c r="D44" s="23"/>
      <c r="E44" s="23"/>
      <c r="F44" s="17"/>
      <c r="G44" s="16"/>
      <c r="H44" s="23">
        <v>0</v>
      </c>
      <c r="I44" s="23">
        <v>0</v>
      </c>
      <c r="J44" s="8"/>
      <c r="K44" s="2"/>
    </row>
    <row r="45" spans="2:11" s="1" customFormat="1" ht="19.5" hidden="1" customHeight="1">
      <c r="B45" s="4"/>
      <c r="C45" s="4"/>
      <c r="D45" s="23"/>
      <c r="E45" s="23"/>
      <c r="F45" s="17">
        <f t="shared" si="10"/>
        <v>0</v>
      </c>
      <c r="G45" s="16">
        <f t="shared" si="11"/>
        <v>0</v>
      </c>
      <c r="H45" s="23">
        <v>0</v>
      </c>
      <c r="I45" s="23">
        <v>0</v>
      </c>
      <c r="J45" s="8">
        <f t="shared" si="12"/>
        <v>0</v>
      </c>
      <c r="K45" s="2">
        <f t="shared" si="13"/>
        <v>0</v>
      </c>
    </row>
    <row r="46" spans="2:11" s="1" customFormat="1" ht="13.5" customHeight="1">
      <c r="B46" s="220" t="s">
        <v>17</v>
      </c>
      <c r="C46" s="221"/>
      <c r="D46" s="10">
        <f>SUM(D24:D45)</f>
        <v>169374</v>
      </c>
      <c r="E46" s="10">
        <f>SUM(E24:E45)</f>
        <v>626</v>
      </c>
      <c r="F46" s="11">
        <f t="shared" si="10"/>
        <v>3.6959627805920625E-3</v>
      </c>
      <c r="G46" s="10">
        <f t="shared" si="11"/>
        <v>77</v>
      </c>
      <c r="H46" s="10">
        <f>SUM(H24:H45)</f>
        <v>48202</v>
      </c>
      <c r="I46" s="10">
        <f>SUM(I24:I45)</f>
        <v>0</v>
      </c>
      <c r="J46" s="11">
        <f t="shared" si="12"/>
        <v>0</v>
      </c>
      <c r="K46" s="10">
        <f t="shared" si="13"/>
        <v>0</v>
      </c>
    </row>
    <row r="47" spans="2:11" s="1" customFormat="1"/>
    <row r="49" spans="7:9">
      <c r="H49" s="26"/>
      <c r="I49" s="26"/>
    </row>
    <row r="51" spans="7:9">
      <c r="G51" s="25"/>
    </row>
  </sheetData>
  <mergeCells count="33">
    <mergeCell ref="B2:K2"/>
    <mergeCell ref="B5:C6"/>
    <mergeCell ref="D5:D6"/>
    <mergeCell ref="E5:E6"/>
    <mergeCell ref="F5:F6"/>
    <mergeCell ref="G5:G6"/>
    <mergeCell ref="H5:H6"/>
    <mergeCell ref="I5:K5"/>
    <mergeCell ref="B15:C15"/>
    <mergeCell ref="B7:C7"/>
    <mergeCell ref="B8:C8"/>
    <mergeCell ref="B9:C9"/>
    <mergeCell ref="B12:C13"/>
    <mergeCell ref="F12:F13"/>
    <mergeCell ref="G12:G13"/>
    <mergeCell ref="H12:H13"/>
    <mergeCell ref="I12:K12"/>
    <mergeCell ref="B14:C14"/>
    <mergeCell ref="D12:D13"/>
    <mergeCell ref="E12:E13"/>
    <mergeCell ref="H22:H23"/>
    <mergeCell ref="I22:K22"/>
    <mergeCell ref="B16:C16"/>
    <mergeCell ref="B17:C17"/>
    <mergeCell ref="B18:C18"/>
    <mergeCell ref="B19:C19"/>
    <mergeCell ref="B22:B23"/>
    <mergeCell ref="C22:C23"/>
    <mergeCell ref="B46:C46"/>
    <mergeCell ref="D22:D23"/>
    <mergeCell ref="E22:E23"/>
    <mergeCell ref="F22:F23"/>
    <mergeCell ref="G22:G23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E6B6-DC8C-4B8B-8A33-77F2DC90B7B0}">
  <sheetPr codeName="Sheet10">
    <tabColor theme="7" tint="0.79998168889431442"/>
  </sheetPr>
  <dimension ref="B2:O84"/>
  <sheetViews>
    <sheetView showGridLines="0" zoomScaleNormal="100" workbookViewId="0">
      <selection activeCell="K66" sqref="K66"/>
    </sheetView>
  </sheetViews>
  <sheetFormatPr defaultColWidth="9" defaultRowHeight="12"/>
  <cols>
    <col min="1" max="1" width="2.25" style="51" customWidth="1"/>
    <col min="2" max="2" width="2" style="50" customWidth="1"/>
    <col min="3" max="3" width="27.75" style="50" bestFit="1" customWidth="1"/>
    <col min="4" max="4" width="16.625" style="50" customWidth="1"/>
    <col min="5" max="5" width="22.75" style="50" bestFit="1" customWidth="1"/>
    <col min="6" max="10" width="11" style="50" customWidth="1"/>
    <col min="11" max="11" width="11" style="52" customWidth="1"/>
    <col min="12" max="12" width="11" style="50" customWidth="1"/>
    <col min="13" max="13" width="11" style="52" customWidth="1"/>
    <col min="14" max="14" width="2.25" style="50" customWidth="1"/>
    <col min="15" max="16384" width="9" style="51"/>
  </cols>
  <sheetData>
    <row r="2" spans="2:14" ht="13.5" customHeight="1">
      <c r="B2" s="232" t="s">
        <v>362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</row>
    <row r="3" spans="2:14" ht="21.75" customHeight="1"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</row>
    <row r="4" spans="2:14" ht="13.5" customHeight="1" thickBot="1"/>
    <row r="5" spans="2:14">
      <c r="B5" s="53"/>
      <c r="C5" s="54"/>
      <c r="D5" s="54"/>
      <c r="E5" s="54"/>
      <c r="F5" s="54"/>
      <c r="G5" s="54"/>
      <c r="H5" s="54"/>
      <c r="I5" s="54"/>
      <c r="J5" s="54"/>
      <c r="K5" s="55"/>
      <c r="L5" s="54"/>
      <c r="M5" s="55"/>
      <c r="N5" s="56"/>
    </row>
    <row r="6" spans="2:14">
      <c r="B6" s="57"/>
      <c r="C6" s="58" t="str">
        <f>파워링크_키워드_평일!C6</f>
        <v>* 기간 : 2026.03.02~2026.03.06</v>
      </c>
      <c r="D6" s="59"/>
      <c r="E6" s="59"/>
      <c r="K6" s="60"/>
      <c r="M6" s="60"/>
      <c r="N6" s="61"/>
    </row>
    <row r="7" spans="2:14">
      <c r="B7" s="57"/>
      <c r="K7" s="60"/>
      <c r="M7" s="60"/>
      <c r="N7" s="61"/>
    </row>
    <row r="8" spans="2:14">
      <c r="B8" s="57"/>
      <c r="C8" s="130"/>
      <c r="D8" s="130"/>
      <c r="E8" s="130"/>
      <c r="F8" s="62"/>
      <c r="G8" s="62"/>
      <c r="H8" s="62"/>
      <c r="I8" s="62"/>
      <c r="J8" s="62"/>
      <c r="K8" s="131"/>
      <c r="L8" s="62"/>
      <c r="M8" s="131"/>
      <c r="N8" s="61"/>
    </row>
    <row r="9" spans="2:14">
      <c r="B9" s="57"/>
      <c r="C9" s="132" t="s">
        <v>363</v>
      </c>
      <c r="D9" s="132"/>
      <c r="E9" s="132"/>
      <c r="F9" s="62"/>
      <c r="G9" s="62"/>
      <c r="H9" s="62"/>
      <c r="I9" s="62"/>
      <c r="J9" s="62"/>
      <c r="K9" s="131"/>
      <c r="L9" s="62"/>
      <c r="M9" s="131"/>
      <c r="N9" s="61"/>
    </row>
    <row r="10" spans="2:14" ht="15.75" customHeight="1">
      <c r="B10" s="57"/>
      <c r="C10" s="63" t="s">
        <v>37</v>
      </c>
      <c r="D10" s="63" t="s">
        <v>34</v>
      </c>
      <c r="E10" s="63" t="s">
        <v>35</v>
      </c>
      <c r="F10" s="63" t="s">
        <v>2</v>
      </c>
      <c r="G10" s="63" t="s">
        <v>4</v>
      </c>
      <c r="H10" s="63" t="s">
        <v>51</v>
      </c>
      <c r="I10" s="63" t="s">
        <v>52</v>
      </c>
      <c r="J10" s="64" t="s">
        <v>54</v>
      </c>
      <c r="K10" s="64" t="s">
        <v>45</v>
      </c>
      <c r="L10" s="63" t="s">
        <v>53</v>
      </c>
      <c r="M10" s="64" t="s">
        <v>69</v>
      </c>
      <c r="N10" s="61"/>
    </row>
    <row r="11" spans="2:14" ht="15.75" customHeight="1">
      <c r="B11" s="57"/>
      <c r="C11" s="65" t="s">
        <v>19</v>
      </c>
      <c r="D11" s="65" t="s">
        <v>19</v>
      </c>
      <c r="E11" s="65" t="s">
        <v>36</v>
      </c>
      <c r="F11" s="65">
        <f>SUM(F12:F1048576)</f>
        <v>33</v>
      </c>
      <c r="G11" s="65">
        <f>SUM(G12:G1048576)</f>
        <v>0</v>
      </c>
      <c r="H11" s="67">
        <f>G11/F11</f>
        <v>0</v>
      </c>
      <c r="I11" s="65">
        <f>IFERROR(J11/G11,0)</f>
        <v>0</v>
      </c>
      <c r="J11" s="65">
        <f>SUM(J12:J1048576)</f>
        <v>0</v>
      </c>
      <c r="K11" s="65">
        <f>SUM(K12:K1048576)</f>
        <v>0</v>
      </c>
      <c r="L11" s="67">
        <f>IFERROR(K11/G11,0)</f>
        <v>0</v>
      </c>
      <c r="M11" s="65">
        <f>IFERROR(K11/J11,0)</f>
        <v>0</v>
      </c>
      <c r="N11" s="61"/>
    </row>
    <row r="12" spans="2:14" ht="15.75" customHeight="1">
      <c r="B12" s="57"/>
      <c r="C12" s="68" t="s">
        <v>368</v>
      </c>
      <c r="D12" s="68" t="s">
        <v>421</v>
      </c>
      <c r="E12" s="68" t="s">
        <v>73</v>
      </c>
      <c r="F12" s="70">
        <v>24</v>
      </c>
      <c r="G12" s="70">
        <v>0</v>
      </c>
      <c r="H12" s="79">
        <f t="shared" ref="H12" si="0">IFERROR(G12/F12,0)</f>
        <v>0</v>
      </c>
      <c r="I12" s="80">
        <f>IFERROR(J12/G12,0)</f>
        <v>0</v>
      </c>
      <c r="J12" s="70">
        <v>0</v>
      </c>
      <c r="K12" s="70">
        <v>0</v>
      </c>
      <c r="L12" s="79">
        <f t="shared" ref="L12" si="1">IFERROR(K12/G12,0)</f>
        <v>0</v>
      </c>
      <c r="M12" s="70">
        <f>IFERROR(K12/J12,0)</f>
        <v>0</v>
      </c>
      <c r="N12" s="71"/>
    </row>
    <row r="13" spans="2:14" ht="15.75" customHeight="1">
      <c r="B13" s="57"/>
      <c r="C13" s="68" t="s">
        <v>368</v>
      </c>
      <c r="D13" s="68" t="s">
        <v>421</v>
      </c>
      <c r="E13" s="68" t="s">
        <v>364</v>
      </c>
      <c r="F13" s="70">
        <v>5</v>
      </c>
      <c r="G13" s="70">
        <v>0</v>
      </c>
      <c r="H13" s="79">
        <f t="shared" ref="H13:H14" si="2">IFERROR(G13/F13,0)</f>
        <v>0</v>
      </c>
      <c r="I13" s="80">
        <f t="shared" ref="I13:I14" si="3">IFERROR(J13/G13,0)</f>
        <v>0</v>
      </c>
      <c r="J13" s="70">
        <v>0</v>
      </c>
      <c r="K13" s="70">
        <v>0</v>
      </c>
      <c r="L13" s="79">
        <f t="shared" ref="L13:L14" si="4">IFERROR(K13/G13,0)</f>
        <v>0</v>
      </c>
      <c r="M13" s="70">
        <f t="shared" ref="M13:M14" si="5">IFERROR(K13/J13,0)</f>
        <v>0</v>
      </c>
      <c r="N13" s="71"/>
    </row>
    <row r="14" spans="2:14" ht="15.75" customHeight="1">
      <c r="B14" s="57"/>
      <c r="C14" s="68" t="s">
        <v>368</v>
      </c>
      <c r="D14" s="68" t="s">
        <v>421</v>
      </c>
      <c r="E14" s="68" t="s">
        <v>488</v>
      </c>
      <c r="F14" s="70">
        <v>3</v>
      </c>
      <c r="G14" s="70">
        <v>0</v>
      </c>
      <c r="H14" s="79">
        <f t="shared" si="2"/>
        <v>0</v>
      </c>
      <c r="I14" s="80">
        <f t="shared" si="3"/>
        <v>0</v>
      </c>
      <c r="J14" s="70">
        <v>0</v>
      </c>
      <c r="K14" s="70">
        <v>0</v>
      </c>
      <c r="L14" s="79">
        <f t="shared" si="4"/>
        <v>0</v>
      </c>
      <c r="M14" s="70">
        <f t="shared" si="5"/>
        <v>0</v>
      </c>
      <c r="N14" s="71"/>
    </row>
    <row r="15" spans="2:14" ht="15.75" customHeight="1">
      <c r="B15" s="57"/>
      <c r="C15" s="68" t="s">
        <v>368</v>
      </c>
      <c r="D15" s="68" t="s">
        <v>421</v>
      </c>
      <c r="E15" s="68" t="s">
        <v>536</v>
      </c>
      <c r="F15" s="70">
        <v>1</v>
      </c>
      <c r="G15" s="70">
        <v>0</v>
      </c>
      <c r="H15" s="79">
        <f t="shared" ref="H15" si="6">IFERROR(G15/F15,0)</f>
        <v>0</v>
      </c>
      <c r="I15" s="80">
        <f t="shared" ref="I15" si="7">IFERROR(J15/G15,0)</f>
        <v>0</v>
      </c>
      <c r="J15" s="70">
        <v>0</v>
      </c>
      <c r="K15" s="70">
        <v>0</v>
      </c>
      <c r="L15" s="79">
        <f t="shared" ref="L15" si="8">IFERROR(K15/G15,0)</f>
        <v>0</v>
      </c>
      <c r="M15" s="70">
        <f t="shared" ref="M15" si="9">IFERROR(K15/J15,0)</f>
        <v>0</v>
      </c>
      <c r="N15" s="71"/>
    </row>
    <row r="16" spans="2:14" ht="15.75" customHeight="1">
      <c r="B16" s="57"/>
      <c r="C16" s="68"/>
      <c r="D16" s="68"/>
      <c r="E16" s="68"/>
      <c r="F16" s="70"/>
      <c r="G16" s="70"/>
      <c r="H16" s="133"/>
      <c r="I16" s="80"/>
      <c r="J16" s="81"/>
      <c r="K16" s="70"/>
      <c r="L16" s="133"/>
      <c r="M16" s="70"/>
      <c r="N16" s="71"/>
    </row>
    <row r="17" spans="2:14" ht="15.75" customHeight="1">
      <c r="B17" s="57"/>
      <c r="C17" s="68"/>
      <c r="D17" s="68"/>
      <c r="E17" s="68"/>
      <c r="F17" s="70"/>
      <c r="G17" s="70"/>
      <c r="H17" s="133"/>
      <c r="I17" s="80"/>
      <c r="J17" s="81"/>
      <c r="K17" s="70"/>
      <c r="L17" s="133"/>
      <c r="M17" s="70"/>
      <c r="N17" s="71"/>
    </row>
    <row r="18" spans="2:14" ht="15.75" customHeight="1">
      <c r="B18" s="57"/>
      <c r="C18" s="68"/>
      <c r="D18" s="68"/>
      <c r="E18" s="68"/>
      <c r="F18" s="70"/>
      <c r="G18" s="70"/>
      <c r="H18" s="133"/>
      <c r="I18" s="80"/>
      <c r="J18" s="81"/>
      <c r="K18" s="70"/>
      <c r="L18" s="133"/>
      <c r="M18" s="70"/>
      <c r="N18" s="71"/>
    </row>
    <row r="19" spans="2:14" ht="15.75" customHeight="1">
      <c r="B19" s="57"/>
      <c r="C19" s="68"/>
      <c r="D19" s="68"/>
      <c r="E19" s="68"/>
      <c r="F19" s="70"/>
      <c r="G19" s="70"/>
      <c r="H19" s="133"/>
      <c r="I19" s="80"/>
      <c r="J19" s="81"/>
      <c r="K19" s="70"/>
      <c r="L19" s="133"/>
      <c r="M19" s="70"/>
      <c r="N19" s="71"/>
    </row>
    <row r="20" spans="2:14" ht="15.75" customHeight="1">
      <c r="B20" s="57"/>
      <c r="C20" s="68"/>
      <c r="D20" s="68"/>
      <c r="E20" s="68"/>
      <c r="F20" s="70"/>
      <c r="G20" s="70"/>
      <c r="H20" s="133"/>
      <c r="I20" s="80"/>
      <c r="J20" s="81"/>
      <c r="K20" s="70"/>
      <c r="L20" s="133"/>
      <c r="M20" s="70"/>
      <c r="N20" s="71"/>
    </row>
    <row r="21" spans="2:14" ht="15.75" customHeight="1">
      <c r="B21" s="57"/>
      <c r="C21" s="68"/>
      <c r="D21" s="68"/>
      <c r="E21" s="68"/>
      <c r="F21" s="70"/>
      <c r="G21" s="70"/>
      <c r="H21" s="133"/>
      <c r="I21" s="80"/>
      <c r="J21" s="81"/>
      <c r="K21" s="70"/>
      <c r="L21" s="133"/>
      <c r="M21" s="70"/>
      <c r="N21" s="71"/>
    </row>
    <row r="22" spans="2:14" ht="15.75" customHeight="1">
      <c r="B22" s="57"/>
      <c r="C22" s="68"/>
      <c r="D22" s="68"/>
      <c r="E22" s="68"/>
      <c r="F22" s="70"/>
      <c r="G22" s="70"/>
      <c r="H22" s="133"/>
      <c r="I22" s="80"/>
      <c r="J22" s="81"/>
      <c r="K22" s="70"/>
      <c r="L22" s="133"/>
      <c r="M22" s="70"/>
      <c r="N22" s="71"/>
    </row>
    <row r="23" spans="2:14" ht="15.75" customHeight="1">
      <c r="B23" s="57"/>
      <c r="C23" s="68"/>
      <c r="D23" s="68"/>
      <c r="E23" s="68"/>
      <c r="F23" s="70"/>
      <c r="G23" s="70"/>
      <c r="H23" s="133"/>
      <c r="I23" s="80"/>
      <c r="J23" s="81"/>
      <c r="K23" s="70"/>
      <c r="L23" s="133"/>
      <c r="M23" s="70"/>
      <c r="N23" s="71"/>
    </row>
    <row r="24" spans="2:14" ht="15.75" customHeight="1">
      <c r="B24" s="57"/>
      <c r="C24" s="68"/>
      <c r="D24" s="68"/>
      <c r="E24" s="68"/>
      <c r="F24" s="70"/>
      <c r="G24" s="70"/>
      <c r="H24" s="133"/>
      <c r="I24" s="80"/>
      <c r="J24" s="81"/>
      <c r="K24" s="70"/>
      <c r="L24" s="133"/>
      <c r="M24" s="70"/>
      <c r="N24" s="71"/>
    </row>
    <row r="25" spans="2:14" ht="15.75" customHeight="1">
      <c r="B25" s="57"/>
      <c r="C25" s="68"/>
      <c r="D25" s="68"/>
      <c r="E25" s="68"/>
      <c r="F25" s="70"/>
      <c r="G25" s="70"/>
      <c r="H25" s="79"/>
      <c r="I25" s="80"/>
      <c r="J25" s="80"/>
      <c r="K25" s="70"/>
      <c r="L25" s="79"/>
      <c r="M25" s="70"/>
      <c r="N25" s="71"/>
    </row>
    <row r="26" spans="2:14" ht="15.75" customHeight="1">
      <c r="B26" s="57"/>
      <c r="C26" s="68"/>
      <c r="D26" s="68"/>
      <c r="E26" s="68"/>
      <c r="F26" s="70"/>
      <c r="G26" s="70"/>
      <c r="H26" s="79"/>
      <c r="I26" s="80"/>
      <c r="J26" s="80"/>
      <c r="K26" s="70"/>
      <c r="L26" s="79"/>
      <c r="M26" s="70"/>
      <c r="N26" s="71"/>
    </row>
    <row r="27" spans="2:14" ht="15.75" customHeight="1">
      <c r="B27" s="57"/>
      <c r="C27" s="68"/>
      <c r="D27" s="68"/>
      <c r="E27" s="68"/>
      <c r="F27" s="70"/>
      <c r="G27" s="70"/>
      <c r="H27" s="79"/>
      <c r="I27" s="80"/>
      <c r="J27" s="80"/>
      <c r="K27" s="70"/>
      <c r="L27" s="79"/>
      <c r="M27" s="70"/>
      <c r="N27" s="71"/>
    </row>
    <row r="28" spans="2:14" ht="15.75" customHeight="1">
      <c r="B28" s="57"/>
      <c r="C28" s="68"/>
      <c r="D28" s="68"/>
      <c r="E28" s="68"/>
      <c r="F28" s="70"/>
      <c r="G28" s="70"/>
      <c r="H28" s="79"/>
      <c r="I28" s="80"/>
      <c r="J28" s="80"/>
      <c r="K28" s="70"/>
      <c r="L28" s="79"/>
      <c r="M28" s="70"/>
      <c r="N28" s="71"/>
    </row>
    <row r="29" spans="2:14" ht="15.75" customHeight="1">
      <c r="B29" s="57"/>
      <c r="C29" s="68"/>
      <c r="D29" s="68"/>
      <c r="E29" s="68"/>
      <c r="F29" s="70"/>
      <c r="G29" s="70"/>
      <c r="H29" s="79"/>
      <c r="I29" s="80"/>
      <c r="J29" s="80"/>
      <c r="K29" s="70"/>
      <c r="L29" s="79"/>
      <c r="M29" s="70"/>
      <c r="N29" s="71"/>
    </row>
    <row r="30" spans="2:14" ht="15.75" customHeight="1">
      <c r="B30" s="57"/>
      <c r="C30" s="68"/>
      <c r="D30" s="68"/>
      <c r="E30" s="68"/>
      <c r="F30" s="70"/>
      <c r="G30" s="70"/>
      <c r="H30" s="79"/>
      <c r="I30" s="80"/>
      <c r="J30" s="80"/>
      <c r="K30" s="70"/>
      <c r="L30" s="79"/>
      <c r="M30" s="70"/>
      <c r="N30" s="71"/>
    </row>
    <row r="31" spans="2:14" ht="15.75" customHeight="1">
      <c r="B31" s="57"/>
      <c r="C31" s="68"/>
      <c r="D31" s="68"/>
      <c r="E31" s="68"/>
      <c r="F31" s="70"/>
      <c r="G31" s="70"/>
      <c r="H31" s="79"/>
      <c r="I31" s="80"/>
      <c r="J31" s="80"/>
      <c r="K31" s="70"/>
      <c r="L31" s="79"/>
      <c r="M31" s="70"/>
      <c r="N31" s="71"/>
    </row>
    <row r="32" spans="2:14" ht="15.75" customHeight="1">
      <c r="B32" s="57"/>
      <c r="C32" s="68"/>
      <c r="D32" s="68"/>
      <c r="E32" s="68"/>
      <c r="F32" s="70"/>
      <c r="G32" s="70"/>
      <c r="H32" s="79"/>
      <c r="I32" s="80"/>
      <c r="J32" s="80"/>
      <c r="K32" s="70"/>
      <c r="L32" s="79"/>
      <c r="M32" s="70"/>
      <c r="N32" s="71"/>
    </row>
    <row r="33" spans="2:14" ht="15.75" customHeight="1">
      <c r="B33" s="57"/>
      <c r="C33" s="68"/>
      <c r="D33" s="68"/>
      <c r="E33" s="68"/>
      <c r="F33" s="70"/>
      <c r="G33" s="70"/>
      <c r="H33" s="79"/>
      <c r="I33" s="80"/>
      <c r="J33" s="80"/>
      <c r="K33" s="70"/>
      <c r="L33" s="79"/>
      <c r="M33" s="70"/>
      <c r="N33" s="71"/>
    </row>
    <row r="34" spans="2:14" ht="15.75" customHeight="1">
      <c r="B34" s="57"/>
      <c r="C34" s="68"/>
      <c r="D34" s="68"/>
      <c r="E34" s="68"/>
      <c r="F34" s="70"/>
      <c r="G34" s="70"/>
      <c r="H34" s="79"/>
      <c r="I34" s="80"/>
      <c r="J34" s="80"/>
      <c r="K34" s="70"/>
      <c r="L34" s="79"/>
      <c r="M34" s="70"/>
      <c r="N34" s="71"/>
    </row>
    <row r="35" spans="2:14" ht="15.75" customHeight="1">
      <c r="B35" s="57"/>
      <c r="C35" s="68"/>
      <c r="D35" s="68"/>
      <c r="E35" s="68"/>
      <c r="F35" s="70"/>
      <c r="G35" s="70"/>
      <c r="H35" s="79"/>
      <c r="I35" s="80"/>
      <c r="J35" s="80"/>
      <c r="K35" s="70"/>
      <c r="L35" s="79"/>
      <c r="M35" s="70"/>
      <c r="N35" s="71"/>
    </row>
    <row r="36" spans="2:14" ht="15.75" customHeight="1">
      <c r="B36" s="57"/>
      <c r="C36" s="68"/>
      <c r="D36" s="68"/>
      <c r="E36" s="68"/>
      <c r="F36" s="70"/>
      <c r="G36" s="70"/>
      <c r="H36" s="79"/>
      <c r="I36" s="80"/>
      <c r="J36" s="80"/>
      <c r="K36" s="70"/>
      <c r="L36" s="79"/>
      <c r="M36" s="70"/>
      <c r="N36" s="71"/>
    </row>
    <row r="37" spans="2:14" ht="15.75" customHeight="1">
      <c r="B37" s="57"/>
      <c r="C37" s="68"/>
      <c r="D37" s="68"/>
      <c r="E37" s="68"/>
      <c r="F37" s="70"/>
      <c r="G37" s="70"/>
      <c r="H37" s="79"/>
      <c r="I37" s="80"/>
      <c r="J37" s="80"/>
      <c r="K37" s="70"/>
      <c r="L37" s="79"/>
      <c r="M37" s="70"/>
      <c r="N37" s="71"/>
    </row>
    <row r="38" spans="2:14" ht="15.75" customHeight="1">
      <c r="B38" s="57"/>
      <c r="C38" s="68"/>
      <c r="D38" s="68"/>
      <c r="E38" s="68"/>
      <c r="F38" s="70"/>
      <c r="G38" s="70"/>
      <c r="H38" s="79"/>
      <c r="I38" s="80"/>
      <c r="J38" s="80"/>
      <c r="K38" s="70"/>
      <c r="L38" s="79"/>
      <c r="M38" s="70"/>
      <c r="N38" s="71"/>
    </row>
    <row r="39" spans="2:14" ht="15.75" customHeight="1">
      <c r="B39" s="57"/>
      <c r="C39" s="68"/>
      <c r="D39" s="68"/>
      <c r="E39" s="68"/>
      <c r="F39" s="70"/>
      <c r="G39" s="70"/>
      <c r="H39" s="79"/>
      <c r="I39" s="80"/>
      <c r="J39" s="80"/>
      <c r="K39" s="70"/>
      <c r="L39" s="79"/>
      <c r="M39" s="70"/>
      <c r="N39" s="71"/>
    </row>
    <row r="40" spans="2:14" ht="15.75" customHeight="1">
      <c r="B40" s="57"/>
      <c r="C40" s="68"/>
      <c r="D40" s="68"/>
      <c r="E40" s="68"/>
      <c r="F40" s="70"/>
      <c r="G40" s="70"/>
      <c r="H40" s="79"/>
      <c r="I40" s="80"/>
      <c r="J40" s="80"/>
      <c r="K40" s="70"/>
      <c r="L40" s="79"/>
      <c r="M40" s="70"/>
      <c r="N40" s="71"/>
    </row>
    <row r="41" spans="2:14">
      <c r="B41" s="57"/>
      <c r="K41" s="60"/>
      <c r="M41" s="60"/>
      <c r="N41" s="71"/>
    </row>
    <row r="42" spans="2:14">
      <c r="B42" s="57"/>
      <c r="C42" s="72"/>
      <c r="D42" s="72"/>
      <c r="E42" s="72"/>
      <c r="F42" s="73"/>
      <c r="G42" s="73"/>
      <c r="H42" s="74"/>
      <c r="I42" s="73"/>
      <c r="J42" s="73"/>
      <c r="K42" s="75"/>
      <c r="L42" s="76"/>
      <c r="M42" s="75"/>
      <c r="N42" s="71"/>
    </row>
    <row r="43" spans="2:14">
      <c r="B43" s="57"/>
      <c r="C43" s="62"/>
      <c r="D43" s="62"/>
      <c r="E43" s="62"/>
      <c r="F43" s="62"/>
      <c r="K43" s="50"/>
      <c r="M43" s="50"/>
      <c r="N43" s="71"/>
    </row>
    <row r="44" spans="2:14">
      <c r="B44" s="57"/>
      <c r="K44" s="60"/>
      <c r="M44" s="60"/>
      <c r="N44" s="71"/>
    </row>
    <row r="45" spans="2:14">
      <c r="B45" s="57"/>
      <c r="N45" s="71"/>
    </row>
    <row r="46" spans="2:14">
      <c r="B46" s="57"/>
      <c r="N46" s="71"/>
    </row>
    <row r="47" spans="2:14">
      <c r="N47" s="71"/>
    </row>
    <row r="48" spans="2:14">
      <c r="N48" s="71"/>
    </row>
    <row r="49" spans="14:14">
      <c r="N49" s="71"/>
    </row>
    <row r="50" spans="14:14">
      <c r="N50" s="77"/>
    </row>
    <row r="51" spans="14:14">
      <c r="N51" s="77"/>
    </row>
    <row r="52" spans="14:14">
      <c r="N52" s="77"/>
    </row>
    <row r="53" spans="14:14">
      <c r="N53" s="77"/>
    </row>
    <row r="54" spans="14:14">
      <c r="N54" s="77"/>
    </row>
    <row r="55" spans="14:14">
      <c r="N55" s="77"/>
    </row>
    <row r="56" spans="14:14">
      <c r="N56" s="77"/>
    </row>
    <row r="57" spans="14:14">
      <c r="N57" s="77"/>
    </row>
    <row r="58" spans="14:14">
      <c r="N58" s="77"/>
    </row>
    <row r="59" spans="14:14">
      <c r="N59" s="77"/>
    </row>
    <row r="60" spans="14:14">
      <c r="N60" s="77"/>
    </row>
    <row r="61" spans="14:14">
      <c r="N61" s="77"/>
    </row>
    <row r="62" spans="14:14">
      <c r="N62" s="77"/>
    </row>
    <row r="63" spans="14:14">
      <c r="N63" s="77"/>
    </row>
    <row r="64" spans="14:14">
      <c r="N64" s="77"/>
    </row>
    <row r="65" spans="14:14">
      <c r="N65" s="77"/>
    </row>
    <row r="66" spans="14:14">
      <c r="N66" s="77"/>
    </row>
    <row r="67" spans="14:14" ht="13.5" customHeight="1">
      <c r="N67" s="77"/>
    </row>
    <row r="68" spans="14:14" ht="13.5" customHeight="1">
      <c r="N68" s="77"/>
    </row>
    <row r="69" spans="14:14" ht="13.5" customHeight="1">
      <c r="N69" s="77"/>
    </row>
    <row r="70" spans="14:14" ht="13.5" customHeight="1">
      <c r="N70" s="77"/>
    </row>
    <row r="71" spans="14:14" ht="13.5" customHeight="1">
      <c r="N71" s="77"/>
    </row>
    <row r="72" spans="14:14" ht="13.5" customHeight="1">
      <c r="N72" s="77"/>
    </row>
    <row r="73" spans="14:14" ht="13.5" customHeight="1">
      <c r="N73" s="77"/>
    </row>
    <row r="74" spans="14:14" ht="13.5" customHeight="1">
      <c r="N74" s="77"/>
    </row>
    <row r="75" spans="14:14" ht="13.5" customHeight="1">
      <c r="N75" s="77"/>
    </row>
    <row r="76" spans="14:14" ht="13.5" customHeight="1">
      <c r="N76" s="77"/>
    </row>
    <row r="77" spans="14:14" ht="13.5" customHeight="1">
      <c r="N77" s="77"/>
    </row>
    <row r="78" spans="14:14" ht="13.5" customHeight="1">
      <c r="N78" s="77"/>
    </row>
    <row r="79" spans="14:14" ht="13.5" customHeight="1">
      <c r="N79" s="77"/>
    </row>
    <row r="80" spans="14:14" ht="13.5" customHeight="1">
      <c r="N80" s="77"/>
    </row>
    <row r="81" spans="14:15" ht="13.5" customHeight="1">
      <c r="N81" s="77"/>
      <c r="O81" s="50"/>
    </row>
    <row r="82" spans="14:15" ht="13.5" customHeight="1" thickBot="1">
      <c r="N82" s="78"/>
      <c r="O82" s="50"/>
    </row>
    <row r="83" spans="14:15" ht="13.5" customHeight="1"/>
    <row r="84" spans="14:15" ht="13.5" customHeight="1"/>
  </sheetData>
  <mergeCells count="1">
    <mergeCell ref="B2:N3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0471-BD2D-4BD8-820F-619C001A93AB}">
  <sheetPr codeName="Sheet11">
    <tabColor theme="7" tint="0.79998168889431442"/>
  </sheetPr>
  <dimension ref="B2:O86"/>
  <sheetViews>
    <sheetView showGridLines="0" zoomScaleNormal="100" workbookViewId="0">
      <selection activeCell="K66" sqref="K66"/>
    </sheetView>
  </sheetViews>
  <sheetFormatPr defaultColWidth="9" defaultRowHeight="12"/>
  <cols>
    <col min="1" max="1" width="2.25" style="51" customWidth="1"/>
    <col min="2" max="2" width="2" style="50" customWidth="1"/>
    <col min="3" max="3" width="27.75" style="50" bestFit="1" customWidth="1"/>
    <col min="4" max="4" width="16.625" style="50" customWidth="1"/>
    <col min="5" max="5" width="22.75" style="50" bestFit="1" customWidth="1"/>
    <col min="6" max="10" width="11" style="50" customWidth="1"/>
    <col min="11" max="11" width="11" style="52" customWidth="1"/>
    <col min="12" max="12" width="11" style="50" customWidth="1"/>
    <col min="13" max="13" width="11" style="52" customWidth="1"/>
    <col min="14" max="14" width="2.25" style="50" customWidth="1"/>
    <col min="15" max="16384" width="9" style="51"/>
  </cols>
  <sheetData>
    <row r="2" spans="2:14" ht="13.5" customHeight="1">
      <c r="B2" s="232" t="s">
        <v>365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</row>
    <row r="3" spans="2:14" ht="21.75" customHeight="1"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</row>
    <row r="4" spans="2:14" ht="13.5" customHeight="1" thickBot="1"/>
    <row r="5" spans="2:14">
      <c r="B5" s="53"/>
      <c r="C5" s="54"/>
      <c r="D5" s="54"/>
      <c r="E5" s="54"/>
      <c r="F5" s="54"/>
      <c r="G5" s="54"/>
      <c r="H5" s="54"/>
      <c r="I5" s="54"/>
      <c r="J5" s="54"/>
      <c r="K5" s="55"/>
      <c r="L5" s="54"/>
      <c r="M5" s="55"/>
      <c r="N5" s="56"/>
    </row>
    <row r="6" spans="2:14">
      <c r="B6" s="57"/>
      <c r="C6" s="58" t="str">
        <f>카카오_PC키워드_주간!C6</f>
        <v>* 기간 : 2026.03.02~2026.03.06</v>
      </c>
      <c r="D6" s="59"/>
      <c r="E6" s="59"/>
      <c r="K6" s="60"/>
      <c r="M6" s="60"/>
      <c r="N6" s="61"/>
    </row>
    <row r="7" spans="2:14">
      <c r="B7" s="57"/>
      <c r="K7" s="60"/>
      <c r="M7" s="60"/>
      <c r="N7" s="61"/>
    </row>
    <row r="8" spans="2:14">
      <c r="B8" s="57"/>
      <c r="C8" s="130"/>
      <c r="D8" s="130"/>
      <c r="E8" s="130"/>
      <c r="F8" s="62"/>
      <c r="G8" s="62"/>
      <c r="H8" s="62"/>
      <c r="I8" s="62"/>
      <c r="J8" s="62"/>
      <c r="K8" s="131"/>
      <c r="L8" s="62"/>
      <c r="M8" s="131"/>
      <c r="N8" s="61"/>
    </row>
    <row r="9" spans="2:14">
      <c r="B9" s="57"/>
      <c r="C9" s="132" t="s">
        <v>366</v>
      </c>
      <c r="D9" s="132"/>
      <c r="E9" s="132"/>
      <c r="F9" s="62"/>
      <c r="G9" s="62"/>
      <c r="H9" s="62"/>
      <c r="I9" s="62"/>
      <c r="J9" s="62"/>
      <c r="K9" s="131"/>
      <c r="L9" s="62"/>
      <c r="M9" s="131"/>
      <c r="N9" s="61"/>
    </row>
    <row r="10" spans="2:14" ht="15.75" customHeight="1">
      <c r="B10" s="57"/>
      <c r="C10" s="63" t="s">
        <v>37</v>
      </c>
      <c r="D10" s="63" t="s">
        <v>34</v>
      </c>
      <c r="E10" s="63" t="s">
        <v>35</v>
      </c>
      <c r="F10" s="63" t="s">
        <v>2</v>
      </c>
      <c r="G10" s="63" t="s">
        <v>4</v>
      </c>
      <c r="H10" s="63" t="s">
        <v>51</v>
      </c>
      <c r="I10" s="63" t="s">
        <v>52</v>
      </c>
      <c r="J10" s="64" t="s">
        <v>54</v>
      </c>
      <c r="K10" s="64" t="s">
        <v>45</v>
      </c>
      <c r="L10" s="63" t="s">
        <v>53</v>
      </c>
      <c r="M10" s="64" t="s">
        <v>69</v>
      </c>
      <c r="N10" s="61"/>
    </row>
    <row r="11" spans="2:14" ht="15.75" customHeight="1">
      <c r="B11" s="57"/>
      <c r="C11" s="65" t="s">
        <v>19</v>
      </c>
      <c r="D11" s="65" t="s">
        <v>19</v>
      </c>
      <c r="E11" s="65" t="s">
        <v>36</v>
      </c>
      <c r="F11" s="65">
        <f>SUM(F12:F1048576)</f>
        <v>12</v>
      </c>
      <c r="G11" s="65">
        <f>SUM(G12:G1048576)</f>
        <v>0</v>
      </c>
      <c r="H11" s="67">
        <f>IFERROR(G11/F11,0)</f>
        <v>0</v>
      </c>
      <c r="I11" s="65">
        <f>IFERROR(J11/G11,0)</f>
        <v>0</v>
      </c>
      <c r="J11" s="65">
        <f>SUM(J12:J1048576)</f>
        <v>0</v>
      </c>
      <c r="K11" s="65">
        <f>SUM(K12:K1048576)</f>
        <v>0</v>
      </c>
      <c r="L11" s="67">
        <f>IFERROR(K11/G11,0)</f>
        <v>0</v>
      </c>
      <c r="M11" s="65">
        <f>IFERROR(K11/J11,0)</f>
        <v>0</v>
      </c>
      <c r="N11" s="61"/>
    </row>
    <row r="12" spans="2:14" ht="15.75" customHeight="1">
      <c r="B12" s="57"/>
      <c r="C12" s="68" t="s">
        <v>368</v>
      </c>
      <c r="D12" s="68" t="s">
        <v>421</v>
      </c>
      <c r="E12" s="68" t="s">
        <v>73</v>
      </c>
      <c r="F12" s="70">
        <v>7</v>
      </c>
      <c r="G12" s="70">
        <v>0</v>
      </c>
      <c r="H12" s="79">
        <v>0</v>
      </c>
      <c r="I12" s="80">
        <f>IFERROR(J12/G12,0)</f>
        <v>0</v>
      </c>
      <c r="J12" s="70">
        <v>0</v>
      </c>
      <c r="K12" s="70">
        <v>0</v>
      </c>
      <c r="L12" s="79">
        <f t="shared" ref="L12" si="0">IFERROR(K12/G12,0)</f>
        <v>0</v>
      </c>
      <c r="M12" s="70">
        <f>IFERROR(K12/J12,0)</f>
        <v>0</v>
      </c>
      <c r="N12" s="71"/>
    </row>
    <row r="13" spans="2:14" ht="15.75" customHeight="1">
      <c r="B13" s="57"/>
      <c r="C13" s="68" t="s">
        <v>368</v>
      </c>
      <c r="D13" s="68" t="s">
        <v>421</v>
      </c>
      <c r="E13" s="68" t="s">
        <v>364</v>
      </c>
      <c r="F13" s="70">
        <v>3</v>
      </c>
      <c r="G13" s="70">
        <v>0</v>
      </c>
      <c r="H13" s="79">
        <v>0</v>
      </c>
      <c r="I13" s="80">
        <f t="shared" ref="I13" si="1">IFERROR(J13/G13,0)</f>
        <v>0</v>
      </c>
      <c r="J13" s="70">
        <v>0</v>
      </c>
      <c r="K13" s="70">
        <v>0</v>
      </c>
      <c r="L13" s="79">
        <f t="shared" ref="L13" si="2">IFERROR(K13/G13,0)</f>
        <v>0</v>
      </c>
      <c r="M13" s="70">
        <f t="shared" ref="M13" si="3">IFERROR(K13/J13,0)</f>
        <v>0</v>
      </c>
      <c r="N13" s="71"/>
    </row>
    <row r="14" spans="2:14" ht="15.75" customHeight="1">
      <c r="B14" s="57"/>
      <c r="C14" s="68" t="s">
        <v>368</v>
      </c>
      <c r="D14" s="68" t="s">
        <v>421</v>
      </c>
      <c r="E14" s="68" t="s">
        <v>488</v>
      </c>
      <c r="F14" s="70">
        <v>2</v>
      </c>
      <c r="G14" s="70">
        <v>0</v>
      </c>
      <c r="H14" s="79">
        <v>0</v>
      </c>
      <c r="I14" s="80">
        <f t="shared" ref="I14" si="4">IFERROR(J14/G14,0)</f>
        <v>0</v>
      </c>
      <c r="J14" s="70">
        <v>0</v>
      </c>
      <c r="K14" s="70">
        <v>0</v>
      </c>
      <c r="L14" s="79">
        <f t="shared" ref="L14" si="5">IFERROR(K14/G14,0)</f>
        <v>0</v>
      </c>
      <c r="M14" s="70">
        <f t="shared" ref="M14" si="6">IFERROR(K14/J14,0)</f>
        <v>0</v>
      </c>
      <c r="N14" s="71"/>
    </row>
    <row r="15" spans="2:14" ht="15.75" customHeight="1">
      <c r="B15" s="57"/>
      <c r="C15" s="68"/>
      <c r="D15" s="68"/>
      <c r="E15" s="68"/>
      <c r="F15" s="70"/>
      <c r="G15" s="70"/>
      <c r="H15" s="79"/>
      <c r="I15" s="80"/>
      <c r="J15" s="81"/>
      <c r="K15" s="70"/>
      <c r="L15" s="79"/>
      <c r="M15" s="70"/>
      <c r="N15" s="71"/>
    </row>
    <row r="16" spans="2:14" ht="15.75" customHeight="1">
      <c r="B16" s="57"/>
      <c r="C16" s="68"/>
      <c r="D16" s="68"/>
      <c r="E16" s="68"/>
      <c r="F16" s="70"/>
      <c r="G16" s="70"/>
      <c r="H16" s="133"/>
      <c r="I16" s="80"/>
      <c r="J16" s="81"/>
      <c r="K16" s="70"/>
      <c r="L16" s="133"/>
      <c r="M16" s="70"/>
      <c r="N16" s="71"/>
    </row>
    <row r="17" spans="2:14" ht="15.75" customHeight="1">
      <c r="B17" s="57"/>
      <c r="C17" s="68"/>
      <c r="D17" s="68"/>
      <c r="E17" s="68"/>
      <c r="F17" s="70"/>
      <c r="G17" s="70"/>
      <c r="H17" s="133"/>
      <c r="I17" s="80"/>
      <c r="J17" s="81"/>
      <c r="K17" s="70"/>
      <c r="L17" s="133"/>
      <c r="M17" s="70"/>
      <c r="N17" s="71"/>
    </row>
    <row r="18" spans="2:14" ht="15.75" customHeight="1">
      <c r="B18" s="57"/>
      <c r="C18" s="68"/>
      <c r="D18" s="68"/>
      <c r="E18" s="68"/>
      <c r="F18" s="70"/>
      <c r="G18" s="70"/>
      <c r="H18" s="133"/>
      <c r="I18" s="80"/>
      <c r="J18" s="81"/>
      <c r="K18" s="70"/>
      <c r="L18" s="133"/>
      <c r="M18" s="70"/>
      <c r="N18" s="71"/>
    </row>
    <row r="19" spans="2:14" ht="15.75" customHeight="1">
      <c r="B19" s="57"/>
      <c r="C19" s="68"/>
      <c r="D19" s="68"/>
      <c r="E19" s="68"/>
      <c r="F19" s="70"/>
      <c r="G19" s="70"/>
      <c r="H19" s="133"/>
      <c r="I19" s="80"/>
      <c r="J19" s="81"/>
      <c r="K19" s="70"/>
      <c r="L19" s="133"/>
      <c r="M19" s="70"/>
      <c r="N19" s="71"/>
    </row>
    <row r="20" spans="2:14" ht="15.75" customHeight="1">
      <c r="B20" s="57"/>
      <c r="C20" s="68"/>
      <c r="D20" s="68"/>
      <c r="E20" s="68"/>
      <c r="F20" s="70"/>
      <c r="G20" s="70"/>
      <c r="H20" s="133"/>
      <c r="I20" s="80"/>
      <c r="J20" s="81"/>
      <c r="K20" s="70"/>
      <c r="L20" s="133"/>
      <c r="M20" s="70"/>
      <c r="N20" s="71"/>
    </row>
    <row r="21" spans="2:14" ht="15.75" customHeight="1">
      <c r="B21" s="57"/>
      <c r="C21" s="68"/>
      <c r="D21" s="68"/>
      <c r="E21" s="68"/>
      <c r="F21" s="70"/>
      <c r="G21" s="70"/>
      <c r="H21" s="133"/>
      <c r="I21" s="80"/>
      <c r="J21" s="81"/>
      <c r="K21" s="70"/>
      <c r="L21" s="133"/>
      <c r="M21" s="70"/>
      <c r="N21" s="71"/>
    </row>
    <row r="22" spans="2:14" ht="15.75" customHeight="1">
      <c r="B22" s="57"/>
      <c r="C22" s="68"/>
      <c r="D22" s="68"/>
      <c r="E22" s="68"/>
      <c r="F22" s="70"/>
      <c r="G22" s="70"/>
      <c r="H22" s="133"/>
      <c r="I22" s="80"/>
      <c r="J22" s="81"/>
      <c r="K22" s="70"/>
      <c r="L22" s="133"/>
      <c r="M22" s="70"/>
      <c r="N22" s="71"/>
    </row>
    <row r="23" spans="2:14" ht="15.75" customHeight="1">
      <c r="B23" s="57"/>
      <c r="C23" s="68"/>
      <c r="D23" s="68"/>
      <c r="E23" s="68"/>
      <c r="F23" s="70"/>
      <c r="G23" s="70"/>
      <c r="H23" s="79"/>
      <c r="I23" s="80"/>
      <c r="J23" s="80"/>
      <c r="K23" s="70"/>
      <c r="L23" s="79"/>
      <c r="M23" s="70"/>
      <c r="N23" s="71"/>
    </row>
    <row r="24" spans="2:14" ht="15.75" customHeight="1">
      <c r="B24" s="57"/>
      <c r="C24" s="68"/>
      <c r="D24" s="68"/>
      <c r="E24" s="68"/>
      <c r="F24" s="70"/>
      <c r="G24" s="70"/>
      <c r="H24" s="79"/>
      <c r="I24" s="80"/>
      <c r="J24" s="80"/>
      <c r="K24" s="70"/>
      <c r="L24" s="79"/>
      <c r="M24" s="70"/>
      <c r="N24" s="71"/>
    </row>
    <row r="25" spans="2:14" ht="15.75" customHeight="1">
      <c r="B25" s="57"/>
      <c r="C25" s="68"/>
      <c r="D25" s="68"/>
      <c r="E25" s="68"/>
      <c r="F25" s="70"/>
      <c r="G25" s="70"/>
      <c r="H25" s="79"/>
      <c r="I25" s="80"/>
      <c r="J25" s="80"/>
      <c r="K25" s="70"/>
      <c r="L25" s="79"/>
      <c r="M25" s="70"/>
      <c r="N25" s="71"/>
    </row>
    <row r="26" spans="2:14" ht="15.75" customHeight="1">
      <c r="B26" s="57"/>
      <c r="C26" s="68"/>
      <c r="D26" s="68"/>
      <c r="E26" s="68"/>
      <c r="F26" s="70"/>
      <c r="G26" s="70"/>
      <c r="H26" s="79"/>
      <c r="I26" s="80"/>
      <c r="J26" s="80"/>
      <c r="K26" s="70"/>
      <c r="L26" s="79"/>
      <c r="M26" s="70"/>
      <c r="N26" s="71"/>
    </row>
    <row r="27" spans="2:14" ht="15.75" customHeight="1">
      <c r="B27" s="57"/>
      <c r="C27" s="68"/>
      <c r="D27" s="68"/>
      <c r="E27" s="68"/>
      <c r="F27" s="70"/>
      <c r="G27" s="70"/>
      <c r="H27" s="79"/>
      <c r="I27" s="80"/>
      <c r="J27" s="80"/>
      <c r="K27" s="70"/>
      <c r="L27" s="79"/>
      <c r="M27" s="70"/>
      <c r="N27" s="71"/>
    </row>
    <row r="28" spans="2:14" ht="15.75" customHeight="1">
      <c r="B28" s="57"/>
      <c r="C28" s="68"/>
      <c r="D28" s="68"/>
      <c r="E28" s="68"/>
      <c r="F28" s="70"/>
      <c r="G28" s="70"/>
      <c r="H28" s="79"/>
      <c r="I28" s="80"/>
      <c r="J28" s="80"/>
      <c r="K28" s="70"/>
      <c r="L28" s="79"/>
      <c r="M28" s="70"/>
      <c r="N28" s="71"/>
    </row>
    <row r="29" spans="2:14" ht="15.75" customHeight="1">
      <c r="B29" s="57"/>
      <c r="C29" s="68"/>
      <c r="D29" s="68"/>
      <c r="E29" s="68"/>
      <c r="F29" s="70"/>
      <c r="G29" s="70"/>
      <c r="H29" s="79"/>
      <c r="I29" s="80"/>
      <c r="J29" s="80"/>
      <c r="K29" s="70"/>
      <c r="L29" s="79"/>
      <c r="M29" s="70"/>
      <c r="N29" s="71"/>
    </row>
    <row r="30" spans="2:14" ht="15.75" customHeight="1">
      <c r="B30" s="57"/>
      <c r="C30" s="68"/>
      <c r="D30" s="68"/>
      <c r="E30" s="68"/>
      <c r="F30" s="70"/>
      <c r="G30" s="70"/>
      <c r="H30" s="79"/>
      <c r="I30" s="80"/>
      <c r="J30" s="80"/>
      <c r="K30" s="70"/>
      <c r="L30" s="79"/>
      <c r="M30" s="70"/>
      <c r="N30" s="71"/>
    </row>
    <row r="31" spans="2:14" ht="15.75" customHeight="1">
      <c r="B31" s="57"/>
      <c r="C31" s="68"/>
      <c r="D31" s="68"/>
      <c r="E31" s="68"/>
      <c r="F31" s="70"/>
      <c r="G31" s="70"/>
      <c r="H31" s="79"/>
      <c r="I31" s="80"/>
      <c r="J31" s="80"/>
      <c r="K31" s="70"/>
      <c r="L31" s="79"/>
      <c r="M31" s="70"/>
      <c r="N31" s="71"/>
    </row>
    <row r="32" spans="2:14" ht="15.75" customHeight="1">
      <c r="B32" s="57"/>
      <c r="C32" s="68"/>
      <c r="D32" s="68"/>
      <c r="E32" s="68"/>
      <c r="F32" s="70"/>
      <c r="G32" s="70"/>
      <c r="H32" s="79"/>
      <c r="I32" s="80"/>
      <c r="J32" s="80"/>
      <c r="K32" s="70"/>
      <c r="L32" s="79"/>
      <c r="M32" s="70"/>
      <c r="N32" s="71"/>
    </row>
    <row r="33" spans="2:14" ht="15.75" customHeight="1">
      <c r="B33" s="57"/>
      <c r="C33" s="68"/>
      <c r="D33" s="68"/>
      <c r="E33" s="68"/>
      <c r="F33" s="70"/>
      <c r="G33" s="70"/>
      <c r="H33" s="79"/>
      <c r="I33" s="80"/>
      <c r="J33" s="80"/>
      <c r="K33" s="70"/>
      <c r="L33" s="79"/>
      <c r="M33" s="70"/>
      <c r="N33" s="71"/>
    </row>
    <row r="34" spans="2:14" ht="15.75" customHeight="1">
      <c r="B34" s="57"/>
      <c r="C34" s="68"/>
      <c r="D34" s="68"/>
      <c r="E34" s="68"/>
      <c r="F34" s="70"/>
      <c r="G34" s="70"/>
      <c r="H34" s="79"/>
      <c r="I34" s="80"/>
      <c r="J34" s="80"/>
      <c r="K34" s="70"/>
      <c r="L34" s="79"/>
      <c r="M34" s="70"/>
      <c r="N34" s="71"/>
    </row>
    <row r="35" spans="2:14" ht="15.75" customHeight="1">
      <c r="B35" s="57"/>
      <c r="C35" s="68"/>
      <c r="D35" s="68"/>
      <c r="E35" s="68"/>
      <c r="F35" s="70"/>
      <c r="G35" s="70"/>
      <c r="H35" s="79"/>
      <c r="I35" s="80"/>
      <c r="J35" s="80"/>
      <c r="K35" s="70"/>
      <c r="L35" s="79"/>
      <c r="M35" s="70"/>
      <c r="N35" s="71"/>
    </row>
    <row r="36" spans="2:14" ht="15.75" customHeight="1">
      <c r="B36" s="57"/>
      <c r="C36" s="68"/>
      <c r="D36" s="68"/>
      <c r="E36" s="68"/>
      <c r="F36" s="70"/>
      <c r="G36" s="70"/>
      <c r="H36" s="79"/>
      <c r="I36" s="80"/>
      <c r="J36" s="80"/>
      <c r="K36" s="70"/>
      <c r="L36" s="79"/>
      <c r="M36" s="70"/>
      <c r="N36" s="71"/>
    </row>
    <row r="37" spans="2:14" ht="15.75" customHeight="1">
      <c r="B37" s="57"/>
      <c r="C37" s="68"/>
      <c r="D37" s="68"/>
      <c r="E37" s="68"/>
      <c r="F37" s="70"/>
      <c r="G37" s="70"/>
      <c r="H37" s="79"/>
      <c r="I37" s="80"/>
      <c r="J37" s="80"/>
      <c r="K37" s="70"/>
      <c r="L37" s="79"/>
      <c r="M37" s="70"/>
      <c r="N37" s="71"/>
    </row>
    <row r="38" spans="2:14" ht="15.75" customHeight="1">
      <c r="B38" s="57"/>
      <c r="C38" s="68"/>
      <c r="D38" s="68"/>
      <c r="E38" s="68"/>
      <c r="F38" s="70"/>
      <c r="G38" s="70"/>
      <c r="H38" s="79"/>
      <c r="I38" s="80"/>
      <c r="J38" s="80"/>
      <c r="K38" s="70"/>
      <c r="L38" s="79"/>
      <c r="M38" s="70"/>
      <c r="N38" s="71"/>
    </row>
    <row r="39" spans="2:14" ht="15.75" customHeight="1">
      <c r="B39" s="57"/>
      <c r="C39" s="68"/>
      <c r="D39" s="68"/>
      <c r="E39" s="68"/>
      <c r="F39" s="70"/>
      <c r="G39" s="70"/>
      <c r="H39" s="79"/>
      <c r="I39" s="80"/>
      <c r="J39" s="80"/>
      <c r="K39" s="70"/>
      <c r="L39" s="79"/>
      <c r="M39" s="70"/>
      <c r="N39" s="71"/>
    </row>
    <row r="40" spans="2:14" ht="15.75" customHeight="1">
      <c r="B40" s="57"/>
      <c r="C40" s="68"/>
      <c r="D40" s="68"/>
      <c r="E40" s="68"/>
      <c r="F40" s="70"/>
      <c r="G40" s="70"/>
      <c r="H40" s="79"/>
      <c r="I40" s="80"/>
      <c r="J40" s="80"/>
      <c r="K40" s="70"/>
      <c r="L40" s="79"/>
      <c r="M40" s="70"/>
      <c r="N40" s="71"/>
    </row>
    <row r="41" spans="2:14" ht="15.75" customHeight="1">
      <c r="B41" s="57"/>
      <c r="C41" s="68"/>
      <c r="D41" s="68"/>
      <c r="E41" s="68"/>
      <c r="F41" s="70"/>
      <c r="G41" s="70"/>
      <c r="H41" s="79"/>
      <c r="I41" s="80"/>
      <c r="J41" s="80"/>
      <c r="K41" s="70"/>
      <c r="L41" s="79"/>
      <c r="M41" s="70"/>
      <c r="N41" s="71"/>
    </row>
    <row r="42" spans="2:14" ht="15.75" customHeight="1">
      <c r="B42" s="57"/>
      <c r="C42" s="68"/>
      <c r="D42" s="68"/>
      <c r="E42" s="68"/>
      <c r="F42" s="70"/>
      <c r="G42" s="70"/>
      <c r="H42" s="79"/>
      <c r="I42" s="80"/>
      <c r="J42" s="80"/>
      <c r="K42" s="70"/>
      <c r="L42" s="79"/>
      <c r="M42" s="70"/>
      <c r="N42" s="71"/>
    </row>
    <row r="43" spans="2:14">
      <c r="B43" s="57"/>
      <c r="K43" s="60"/>
      <c r="M43" s="60"/>
      <c r="N43" s="71"/>
    </row>
    <row r="44" spans="2:14">
      <c r="B44" s="57"/>
      <c r="C44" s="72"/>
      <c r="D44" s="72"/>
      <c r="E44" s="72"/>
      <c r="F44" s="73"/>
      <c r="G44" s="73"/>
      <c r="H44" s="74"/>
      <c r="I44" s="73"/>
      <c r="J44" s="73"/>
      <c r="K44" s="75"/>
      <c r="L44" s="76"/>
      <c r="M44" s="75"/>
      <c r="N44" s="71"/>
    </row>
    <row r="45" spans="2:14">
      <c r="B45" s="57"/>
      <c r="C45" s="62"/>
      <c r="D45" s="62"/>
      <c r="E45" s="62"/>
      <c r="F45" s="62"/>
      <c r="K45" s="50"/>
      <c r="M45" s="50"/>
      <c r="N45" s="71"/>
    </row>
    <row r="46" spans="2:14">
      <c r="B46" s="57"/>
      <c r="K46" s="60"/>
      <c r="M46" s="60"/>
      <c r="N46" s="71"/>
    </row>
    <row r="47" spans="2:14">
      <c r="B47" s="57"/>
      <c r="N47" s="71"/>
    </row>
    <row r="48" spans="2:14">
      <c r="B48" s="57"/>
      <c r="N48" s="71"/>
    </row>
    <row r="49" spans="14:14">
      <c r="N49" s="71"/>
    </row>
    <row r="50" spans="14:14">
      <c r="N50" s="71"/>
    </row>
    <row r="51" spans="14:14">
      <c r="N51" s="71"/>
    </row>
    <row r="52" spans="14:14">
      <c r="N52" s="77"/>
    </row>
    <row r="53" spans="14:14">
      <c r="N53" s="77"/>
    </row>
    <row r="54" spans="14:14">
      <c r="N54" s="77"/>
    </row>
    <row r="55" spans="14:14">
      <c r="N55" s="77"/>
    </row>
    <row r="56" spans="14:14">
      <c r="N56" s="77"/>
    </row>
    <row r="57" spans="14:14">
      <c r="N57" s="77"/>
    </row>
    <row r="58" spans="14:14">
      <c r="N58" s="77"/>
    </row>
    <row r="59" spans="14:14">
      <c r="N59" s="77"/>
    </row>
    <row r="60" spans="14:14">
      <c r="N60" s="77"/>
    </row>
    <row r="61" spans="14:14">
      <c r="N61" s="77"/>
    </row>
    <row r="62" spans="14:14">
      <c r="N62" s="77"/>
    </row>
    <row r="63" spans="14:14">
      <c r="N63" s="77"/>
    </row>
    <row r="64" spans="14:14">
      <c r="N64" s="77"/>
    </row>
    <row r="65" spans="14:14">
      <c r="N65" s="77"/>
    </row>
    <row r="66" spans="14:14">
      <c r="N66" s="77"/>
    </row>
    <row r="67" spans="14:14">
      <c r="N67" s="77"/>
    </row>
    <row r="68" spans="14:14">
      <c r="N68" s="77"/>
    </row>
    <row r="69" spans="14:14" ht="13.5" customHeight="1">
      <c r="N69" s="77"/>
    </row>
    <row r="70" spans="14:14" ht="13.5" customHeight="1">
      <c r="N70" s="77"/>
    </row>
    <row r="71" spans="14:14" ht="13.5" customHeight="1">
      <c r="N71" s="77"/>
    </row>
    <row r="72" spans="14:14" ht="13.5" customHeight="1">
      <c r="N72" s="77"/>
    </row>
    <row r="73" spans="14:14" ht="13.5" customHeight="1">
      <c r="N73" s="77"/>
    </row>
    <row r="74" spans="14:14" ht="13.5" customHeight="1">
      <c r="N74" s="77"/>
    </row>
    <row r="75" spans="14:14" ht="13.5" customHeight="1">
      <c r="N75" s="77"/>
    </row>
    <row r="76" spans="14:14" ht="13.5" customHeight="1">
      <c r="N76" s="77"/>
    </row>
    <row r="77" spans="14:14" ht="13.5" customHeight="1">
      <c r="N77" s="77"/>
    </row>
    <row r="78" spans="14:14" ht="13.5" customHeight="1">
      <c r="N78" s="77"/>
    </row>
    <row r="79" spans="14:14" ht="13.5" customHeight="1">
      <c r="N79" s="77"/>
    </row>
    <row r="80" spans="14:14" ht="13.5" customHeight="1">
      <c r="N80" s="77"/>
    </row>
    <row r="81" spans="14:15" ht="13.5" customHeight="1">
      <c r="N81" s="77"/>
    </row>
    <row r="82" spans="14:15" ht="13.5" customHeight="1">
      <c r="N82" s="77"/>
    </row>
    <row r="83" spans="14:15" ht="13.5" customHeight="1">
      <c r="N83" s="77"/>
      <c r="O83" s="50"/>
    </row>
    <row r="84" spans="14:15" ht="13.5" customHeight="1" thickBot="1">
      <c r="N84" s="78"/>
      <c r="O84" s="50"/>
    </row>
    <row r="85" spans="14:15" ht="13.5" customHeight="1"/>
    <row r="86" spans="14:15" ht="13.5" customHeight="1"/>
  </sheetData>
  <mergeCells count="1">
    <mergeCell ref="B2:N3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3640-9B2E-4C47-A8BA-9DF472671675}">
  <sheetPr codeName="Sheet12">
    <tabColor theme="4"/>
  </sheetPr>
  <dimension ref="A1:K945"/>
  <sheetViews>
    <sheetView zoomScale="85" zoomScaleNormal="85" workbookViewId="0">
      <selection activeCell="K66" sqref="K66"/>
    </sheetView>
  </sheetViews>
  <sheetFormatPr defaultRowHeight="16.5"/>
  <cols>
    <col min="1" max="1" width="11.625" bestFit="1" customWidth="1"/>
    <col min="4" max="4" width="13" bestFit="1" customWidth="1"/>
    <col min="8" max="8" width="11.25" customWidth="1"/>
  </cols>
  <sheetData>
    <row r="1" spans="1:11">
      <c r="A1" s="141" t="s">
        <v>48</v>
      </c>
      <c r="B1" s="48" t="s">
        <v>67</v>
      </c>
      <c r="C1" s="142" t="s">
        <v>20</v>
      </c>
      <c r="D1" s="143" t="s">
        <v>46</v>
      </c>
      <c r="E1" s="36" t="s">
        <v>1</v>
      </c>
      <c r="F1" s="36" t="s">
        <v>3</v>
      </c>
      <c r="G1" s="36" t="s">
        <v>54</v>
      </c>
      <c r="H1" s="144" t="s">
        <v>375</v>
      </c>
      <c r="I1" s="36" t="s">
        <v>50</v>
      </c>
      <c r="J1" s="36" t="s">
        <v>47</v>
      </c>
      <c r="K1" s="36"/>
    </row>
    <row r="2" spans="1:11">
      <c r="A2" s="134">
        <v>45748</v>
      </c>
      <c r="B2" t="s">
        <v>64</v>
      </c>
      <c r="C2" t="s">
        <v>368</v>
      </c>
      <c r="D2" t="s">
        <v>367</v>
      </c>
      <c r="E2" s="37">
        <v>15259</v>
      </c>
      <c r="F2" s="37">
        <v>52</v>
      </c>
      <c r="G2" s="37">
        <v>3640</v>
      </c>
      <c r="H2" s="135">
        <f>G2*1.1</f>
        <v>4004.0000000000005</v>
      </c>
      <c r="I2" s="37">
        <v>0</v>
      </c>
      <c r="J2" s="37"/>
    </row>
    <row r="3" spans="1:11">
      <c r="A3" s="134">
        <v>45748</v>
      </c>
      <c r="B3" t="s">
        <v>62</v>
      </c>
      <c r="C3" t="s">
        <v>368</v>
      </c>
      <c r="D3" t="s">
        <v>367</v>
      </c>
      <c r="E3" s="37">
        <v>876</v>
      </c>
      <c r="F3" s="37">
        <v>0</v>
      </c>
      <c r="G3" s="37">
        <v>0</v>
      </c>
      <c r="H3" s="135">
        <f t="shared" ref="H3:H5" si="0">G3*1.1</f>
        <v>0</v>
      </c>
      <c r="I3" s="37">
        <v>0</v>
      </c>
      <c r="J3" s="40"/>
    </row>
    <row r="4" spans="1:11">
      <c r="A4" s="134">
        <v>45749</v>
      </c>
      <c r="B4" t="s">
        <v>64</v>
      </c>
      <c r="C4" t="s">
        <v>368</v>
      </c>
      <c r="D4" t="s">
        <v>367</v>
      </c>
      <c r="E4" s="37">
        <v>12302</v>
      </c>
      <c r="F4" s="37">
        <v>45</v>
      </c>
      <c r="G4" s="37">
        <v>3150</v>
      </c>
      <c r="H4" s="135">
        <f t="shared" si="0"/>
        <v>3465.0000000000005</v>
      </c>
      <c r="I4" s="37">
        <v>0</v>
      </c>
      <c r="J4" s="37"/>
    </row>
    <row r="5" spans="1:11">
      <c r="A5" s="134">
        <v>45749</v>
      </c>
      <c r="B5" t="s">
        <v>62</v>
      </c>
      <c r="C5" t="s">
        <v>368</v>
      </c>
      <c r="D5" t="s">
        <v>367</v>
      </c>
      <c r="E5" s="37">
        <v>2664</v>
      </c>
      <c r="F5" s="37">
        <v>11</v>
      </c>
      <c r="G5" s="37">
        <v>770</v>
      </c>
      <c r="H5" s="135">
        <f t="shared" si="0"/>
        <v>847.00000000000011</v>
      </c>
      <c r="I5" s="37">
        <v>0</v>
      </c>
      <c r="J5" s="37"/>
    </row>
    <row r="6" spans="1:11">
      <c r="A6" s="134">
        <v>45750</v>
      </c>
      <c r="B6" t="s">
        <v>64</v>
      </c>
      <c r="C6" t="s">
        <v>368</v>
      </c>
      <c r="D6" t="s">
        <v>367</v>
      </c>
      <c r="E6" s="37">
        <v>10020</v>
      </c>
      <c r="F6" s="37">
        <v>31</v>
      </c>
      <c r="G6" s="37">
        <v>2170</v>
      </c>
      <c r="H6" s="135">
        <f t="shared" ref="H6:H25" si="1">G6*1.1</f>
        <v>2387</v>
      </c>
      <c r="I6" s="37">
        <v>0</v>
      </c>
      <c r="J6" s="37"/>
    </row>
    <row r="7" spans="1:11">
      <c r="A7" s="134">
        <v>45750</v>
      </c>
      <c r="B7" t="s">
        <v>62</v>
      </c>
      <c r="C7" t="s">
        <v>368</v>
      </c>
      <c r="D7" t="s">
        <v>367</v>
      </c>
      <c r="E7" s="37">
        <v>2897</v>
      </c>
      <c r="F7" s="37">
        <v>21</v>
      </c>
      <c r="G7" s="37">
        <v>1470</v>
      </c>
      <c r="H7" s="135">
        <f t="shared" si="1"/>
        <v>1617.0000000000002</v>
      </c>
      <c r="I7" s="37">
        <v>0</v>
      </c>
      <c r="J7" s="40"/>
    </row>
    <row r="8" spans="1:11">
      <c r="A8" s="134">
        <v>45751</v>
      </c>
      <c r="B8" t="s">
        <v>64</v>
      </c>
      <c r="C8" t="s">
        <v>368</v>
      </c>
      <c r="D8" t="s">
        <v>367</v>
      </c>
      <c r="E8" s="37">
        <v>11465</v>
      </c>
      <c r="F8" s="37">
        <v>43</v>
      </c>
      <c r="G8" s="37">
        <v>3010</v>
      </c>
      <c r="H8" s="135">
        <f t="shared" si="1"/>
        <v>3311.0000000000005</v>
      </c>
      <c r="I8" s="37">
        <v>0</v>
      </c>
      <c r="J8" s="37"/>
    </row>
    <row r="9" spans="1:11">
      <c r="A9" s="134">
        <v>45751</v>
      </c>
      <c r="B9" t="s">
        <v>62</v>
      </c>
      <c r="C9" t="s">
        <v>368</v>
      </c>
      <c r="D9" t="s">
        <v>367</v>
      </c>
      <c r="E9" s="37">
        <v>3207</v>
      </c>
      <c r="F9" s="37">
        <v>11</v>
      </c>
      <c r="G9" s="37">
        <v>770</v>
      </c>
      <c r="H9" s="135">
        <f t="shared" si="1"/>
        <v>847.00000000000011</v>
      </c>
      <c r="I9" s="37">
        <v>0</v>
      </c>
      <c r="J9" s="37"/>
    </row>
    <row r="10" spans="1:11">
      <c r="A10" s="134">
        <v>45754</v>
      </c>
      <c r="B10" t="s">
        <v>64</v>
      </c>
      <c r="C10" t="s">
        <v>368</v>
      </c>
      <c r="D10" t="s">
        <v>367</v>
      </c>
      <c r="E10" s="37">
        <v>4588</v>
      </c>
      <c r="F10" s="37">
        <v>12</v>
      </c>
      <c r="G10" s="37">
        <v>840</v>
      </c>
      <c r="H10" s="135">
        <f t="shared" si="1"/>
        <v>924.00000000000011</v>
      </c>
      <c r="I10" s="37">
        <v>0</v>
      </c>
      <c r="J10" s="37"/>
    </row>
    <row r="11" spans="1:11">
      <c r="A11" s="134">
        <v>45754</v>
      </c>
      <c r="B11" t="s">
        <v>62</v>
      </c>
      <c r="C11" t="s">
        <v>368</v>
      </c>
      <c r="D11" t="s">
        <v>367</v>
      </c>
      <c r="E11" s="37">
        <v>8046</v>
      </c>
      <c r="F11" s="37">
        <v>41</v>
      </c>
      <c r="G11" s="37">
        <v>2870</v>
      </c>
      <c r="H11" s="135">
        <f t="shared" si="1"/>
        <v>3157.0000000000005</v>
      </c>
      <c r="I11" s="37">
        <v>0</v>
      </c>
      <c r="J11" s="37"/>
    </row>
    <row r="12" spans="1:11">
      <c r="A12" s="134">
        <v>45755</v>
      </c>
      <c r="B12" t="s">
        <v>64</v>
      </c>
      <c r="C12" t="s">
        <v>368</v>
      </c>
      <c r="D12" t="s">
        <v>367</v>
      </c>
      <c r="E12" s="37">
        <v>11620</v>
      </c>
      <c r="F12" s="37">
        <v>58</v>
      </c>
      <c r="G12" s="37">
        <v>4060</v>
      </c>
      <c r="H12" s="135">
        <f t="shared" si="1"/>
        <v>4466</v>
      </c>
      <c r="I12" s="37">
        <v>0</v>
      </c>
      <c r="J12" s="37"/>
    </row>
    <row r="13" spans="1:11">
      <c r="A13" s="134">
        <v>45755</v>
      </c>
      <c r="B13" t="s">
        <v>62</v>
      </c>
      <c r="C13" t="s">
        <v>368</v>
      </c>
      <c r="D13" t="s">
        <v>367</v>
      </c>
      <c r="E13" s="37">
        <v>1955</v>
      </c>
      <c r="F13" s="37">
        <v>1</v>
      </c>
      <c r="G13" s="37">
        <v>70</v>
      </c>
      <c r="H13" s="135">
        <f t="shared" si="1"/>
        <v>77</v>
      </c>
      <c r="I13" s="37">
        <v>0</v>
      </c>
      <c r="J13" s="37"/>
    </row>
    <row r="14" spans="1:11">
      <c r="A14" s="134">
        <v>45756</v>
      </c>
      <c r="B14" t="s">
        <v>64</v>
      </c>
      <c r="C14" t="s">
        <v>368</v>
      </c>
      <c r="D14" t="s">
        <v>367</v>
      </c>
      <c r="E14" s="37">
        <v>12520</v>
      </c>
      <c r="F14" s="37">
        <v>54</v>
      </c>
      <c r="G14" s="37">
        <v>3780</v>
      </c>
      <c r="H14" s="135">
        <f t="shared" si="1"/>
        <v>4158</v>
      </c>
      <c r="I14" s="37">
        <v>0</v>
      </c>
      <c r="J14" s="37"/>
    </row>
    <row r="15" spans="1:11">
      <c r="A15" s="134">
        <v>45756</v>
      </c>
      <c r="B15" t="s">
        <v>62</v>
      </c>
      <c r="C15" t="s">
        <v>368</v>
      </c>
      <c r="D15" t="s">
        <v>367</v>
      </c>
      <c r="E15" s="37">
        <v>1034</v>
      </c>
      <c r="F15" s="37">
        <v>6</v>
      </c>
      <c r="G15" s="37">
        <v>420</v>
      </c>
      <c r="H15" s="135">
        <f t="shared" si="1"/>
        <v>462.00000000000006</v>
      </c>
      <c r="I15" s="37">
        <v>0</v>
      </c>
      <c r="J15" s="37"/>
    </row>
    <row r="16" spans="1:11">
      <c r="A16" s="134">
        <v>45757</v>
      </c>
      <c r="B16" t="s">
        <v>64</v>
      </c>
      <c r="C16" t="s">
        <v>368</v>
      </c>
      <c r="D16" t="s">
        <v>367</v>
      </c>
      <c r="E16" s="37">
        <v>12139</v>
      </c>
      <c r="F16" s="37">
        <v>34</v>
      </c>
      <c r="G16" s="37">
        <v>2380</v>
      </c>
      <c r="H16" s="135">
        <f t="shared" si="1"/>
        <v>2618</v>
      </c>
      <c r="I16" s="37">
        <v>0</v>
      </c>
      <c r="J16" s="37"/>
    </row>
    <row r="17" spans="1:10">
      <c r="A17" s="134">
        <v>45757</v>
      </c>
      <c r="B17" t="s">
        <v>62</v>
      </c>
      <c r="C17" t="s">
        <v>368</v>
      </c>
      <c r="D17" t="s">
        <v>367</v>
      </c>
      <c r="E17" s="37">
        <v>4386</v>
      </c>
      <c r="F17" s="37">
        <v>26</v>
      </c>
      <c r="G17" s="37">
        <v>1820</v>
      </c>
      <c r="H17" s="135">
        <f t="shared" si="1"/>
        <v>2002.0000000000002</v>
      </c>
      <c r="I17" s="37">
        <v>0</v>
      </c>
      <c r="J17" s="37"/>
    </row>
    <row r="18" spans="1:10">
      <c r="A18" s="134">
        <v>45758</v>
      </c>
      <c r="B18" t="s">
        <v>64</v>
      </c>
      <c r="C18" t="s">
        <v>368</v>
      </c>
      <c r="D18" t="s">
        <v>367</v>
      </c>
      <c r="E18" s="37">
        <v>13218</v>
      </c>
      <c r="F18" s="37">
        <v>43</v>
      </c>
      <c r="G18" s="37">
        <v>3010</v>
      </c>
      <c r="H18" s="135">
        <f t="shared" si="1"/>
        <v>3311.0000000000005</v>
      </c>
      <c r="I18" s="37">
        <v>0</v>
      </c>
      <c r="J18" s="37"/>
    </row>
    <row r="19" spans="1:10">
      <c r="A19" s="134">
        <v>45758</v>
      </c>
      <c r="B19" t="s">
        <v>62</v>
      </c>
      <c r="C19" t="s">
        <v>368</v>
      </c>
      <c r="D19" t="s">
        <v>367</v>
      </c>
      <c r="E19" s="37">
        <v>2714</v>
      </c>
      <c r="F19" s="37">
        <v>10</v>
      </c>
      <c r="G19" s="37">
        <v>700</v>
      </c>
      <c r="H19" s="135">
        <f t="shared" si="1"/>
        <v>770.00000000000011</v>
      </c>
      <c r="I19" s="37">
        <v>0</v>
      </c>
      <c r="J19" s="37"/>
    </row>
    <row r="20" spans="1:10">
      <c r="A20" s="134">
        <v>45761</v>
      </c>
      <c r="B20" t="s">
        <v>64</v>
      </c>
      <c r="C20" t="s">
        <v>368</v>
      </c>
      <c r="D20" t="s">
        <v>367</v>
      </c>
      <c r="E20" s="37">
        <v>11545</v>
      </c>
      <c r="F20" s="37">
        <v>49</v>
      </c>
      <c r="G20" s="37">
        <v>3430</v>
      </c>
      <c r="H20" s="135">
        <f t="shared" si="1"/>
        <v>3773.0000000000005</v>
      </c>
      <c r="I20" s="37">
        <v>0</v>
      </c>
      <c r="J20" s="37"/>
    </row>
    <row r="21" spans="1:10">
      <c r="A21" s="134">
        <v>45761</v>
      </c>
      <c r="B21" t="s">
        <v>62</v>
      </c>
      <c r="C21" t="s">
        <v>368</v>
      </c>
      <c r="D21" t="s">
        <v>367</v>
      </c>
      <c r="E21" s="37">
        <v>2677</v>
      </c>
      <c r="F21" s="37">
        <v>5</v>
      </c>
      <c r="G21" s="37">
        <v>350</v>
      </c>
      <c r="H21" s="135">
        <f t="shared" si="1"/>
        <v>385.00000000000006</v>
      </c>
      <c r="I21" s="37">
        <v>0</v>
      </c>
      <c r="J21" s="37"/>
    </row>
    <row r="22" spans="1:10">
      <c r="A22" s="134">
        <v>45762</v>
      </c>
      <c r="B22" t="s">
        <v>64</v>
      </c>
      <c r="C22" t="s">
        <v>368</v>
      </c>
      <c r="D22" t="s">
        <v>367</v>
      </c>
      <c r="E22" s="37">
        <v>18044</v>
      </c>
      <c r="F22" s="37">
        <v>58</v>
      </c>
      <c r="G22" s="37">
        <v>4060</v>
      </c>
      <c r="H22" s="135">
        <f t="shared" si="1"/>
        <v>4466</v>
      </c>
      <c r="I22" s="37">
        <v>0</v>
      </c>
      <c r="J22" s="37"/>
    </row>
    <row r="23" spans="1:10">
      <c r="A23" s="134">
        <v>45762</v>
      </c>
      <c r="B23" t="s">
        <v>62</v>
      </c>
      <c r="C23" t="s">
        <v>368</v>
      </c>
      <c r="D23" t="s">
        <v>367</v>
      </c>
      <c r="E23" s="37">
        <v>6131</v>
      </c>
      <c r="F23" s="37">
        <v>15</v>
      </c>
      <c r="G23" s="37">
        <v>1050</v>
      </c>
      <c r="H23" s="135">
        <f t="shared" si="1"/>
        <v>1155</v>
      </c>
      <c r="I23" s="37">
        <v>0</v>
      </c>
      <c r="J23" s="37"/>
    </row>
    <row r="24" spans="1:10">
      <c r="A24" s="134">
        <v>45763</v>
      </c>
      <c r="B24" t="s">
        <v>64</v>
      </c>
      <c r="C24" t="s">
        <v>368</v>
      </c>
      <c r="D24" t="s">
        <v>367</v>
      </c>
      <c r="E24" s="37">
        <v>2</v>
      </c>
      <c r="F24" s="37">
        <v>0</v>
      </c>
      <c r="G24" s="37">
        <v>0</v>
      </c>
      <c r="H24" s="135">
        <f t="shared" si="1"/>
        <v>0</v>
      </c>
      <c r="I24" s="37">
        <v>0</v>
      </c>
      <c r="J24" s="37"/>
    </row>
    <row r="25" spans="1:10">
      <c r="A25" s="134">
        <v>45763</v>
      </c>
      <c r="B25" t="s">
        <v>62</v>
      </c>
      <c r="C25" t="s">
        <v>368</v>
      </c>
      <c r="D25" t="s">
        <v>367</v>
      </c>
      <c r="E25" s="37">
        <v>20</v>
      </c>
      <c r="F25" s="37">
        <v>0</v>
      </c>
      <c r="G25" s="37">
        <v>0</v>
      </c>
      <c r="H25" s="135">
        <f t="shared" si="1"/>
        <v>0</v>
      </c>
      <c r="I25" s="37">
        <v>0</v>
      </c>
      <c r="J25" s="37"/>
    </row>
    <row r="26" spans="1:10">
      <c r="A26" s="134">
        <v>45764</v>
      </c>
      <c r="B26" t="s">
        <v>64</v>
      </c>
      <c r="C26" t="s">
        <v>368</v>
      </c>
      <c r="D26" t="s">
        <v>367</v>
      </c>
      <c r="E26" s="37">
        <v>5</v>
      </c>
      <c r="F26" s="37">
        <v>0</v>
      </c>
      <c r="G26" s="37">
        <v>0</v>
      </c>
      <c r="H26" s="135">
        <f t="shared" ref="H26:H35" si="2">G26*1.1</f>
        <v>0</v>
      </c>
      <c r="I26" s="37">
        <v>0</v>
      </c>
      <c r="J26" s="37"/>
    </row>
    <row r="27" spans="1:10">
      <c r="A27" s="134">
        <v>45764</v>
      </c>
      <c r="B27" t="s">
        <v>62</v>
      </c>
      <c r="C27" t="s">
        <v>368</v>
      </c>
      <c r="D27" t="s">
        <v>367</v>
      </c>
      <c r="E27" s="37">
        <v>9</v>
      </c>
      <c r="F27" s="37">
        <v>0</v>
      </c>
      <c r="G27" s="37">
        <v>0</v>
      </c>
      <c r="H27" s="135">
        <f t="shared" si="2"/>
        <v>0</v>
      </c>
      <c r="I27" s="37">
        <v>0</v>
      </c>
      <c r="J27" s="37"/>
    </row>
    <row r="28" spans="1:10">
      <c r="A28" s="134">
        <v>45765</v>
      </c>
      <c r="B28" t="s">
        <v>64</v>
      </c>
      <c r="C28" t="s">
        <v>368</v>
      </c>
      <c r="D28" t="s">
        <v>367</v>
      </c>
      <c r="E28" s="37">
        <v>3</v>
      </c>
      <c r="F28" s="37">
        <v>0</v>
      </c>
      <c r="G28" s="37">
        <v>0</v>
      </c>
      <c r="H28" s="135">
        <f t="shared" si="2"/>
        <v>0</v>
      </c>
      <c r="I28" s="37">
        <v>0</v>
      </c>
      <c r="J28" s="37"/>
    </row>
    <row r="29" spans="1:10">
      <c r="A29" s="134">
        <v>45765</v>
      </c>
      <c r="B29" t="s">
        <v>62</v>
      </c>
      <c r="C29" t="s">
        <v>368</v>
      </c>
      <c r="D29" t="s">
        <v>367</v>
      </c>
      <c r="E29" s="37">
        <v>2</v>
      </c>
      <c r="F29" s="37">
        <v>0</v>
      </c>
      <c r="G29" s="37">
        <v>0</v>
      </c>
      <c r="H29" s="135">
        <f t="shared" si="2"/>
        <v>0</v>
      </c>
      <c r="I29" s="37">
        <v>0</v>
      </c>
      <c r="J29" s="37"/>
    </row>
    <row r="30" spans="1:10">
      <c r="A30" s="134">
        <v>45768</v>
      </c>
      <c r="B30" t="s">
        <v>64</v>
      </c>
      <c r="C30" t="s">
        <v>368</v>
      </c>
      <c r="D30" t="s">
        <v>367</v>
      </c>
      <c r="E30" s="37">
        <v>2</v>
      </c>
      <c r="F30" s="37">
        <v>0</v>
      </c>
      <c r="G30" s="37">
        <v>0</v>
      </c>
      <c r="H30" s="135">
        <f t="shared" si="2"/>
        <v>0</v>
      </c>
      <c r="I30" s="37">
        <v>0</v>
      </c>
      <c r="J30" s="37"/>
    </row>
    <row r="31" spans="1:10">
      <c r="A31" s="134">
        <v>45768</v>
      </c>
      <c r="B31" t="s">
        <v>62</v>
      </c>
      <c r="C31" t="s">
        <v>368</v>
      </c>
      <c r="D31" t="s">
        <v>367</v>
      </c>
      <c r="E31" s="37">
        <v>5</v>
      </c>
      <c r="F31" s="37">
        <v>0</v>
      </c>
      <c r="G31" s="37">
        <v>0</v>
      </c>
      <c r="H31" s="135">
        <f t="shared" si="2"/>
        <v>0</v>
      </c>
      <c r="I31" s="37">
        <v>0</v>
      </c>
      <c r="J31" s="37"/>
    </row>
    <row r="32" spans="1:10">
      <c r="A32" s="134">
        <v>45769</v>
      </c>
      <c r="B32" t="s">
        <v>64</v>
      </c>
      <c r="C32" t="s">
        <v>368</v>
      </c>
      <c r="D32" t="s">
        <v>367</v>
      </c>
      <c r="E32" s="37">
        <v>0</v>
      </c>
      <c r="F32" s="37">
        <v>0</v>
      </c>
      <c r="G32" s="37">
        <v>0</v>
      </c>
      <c r="H32" s="135">
        <f t="shared" si="2"/>
        <v>0</v>
      </c>
      <c r="I32" s="37">
        <v>0</v>
      </c>
      <c r="J32" s="37"/>
    </row>
    <row r="33" spans="1:10">
      <c r="A33" s="134">
        <v>45769</v>
      </c>
      <c r="B33" t="s">
        <v>62</v>
      </c>
      <c r="C33" t="s">
        <v>368</v>
      </c>
      <c r="D33" t="s">
        <v>367</v>
      </c>
      <c r="E33" s="37">
        <v>11</v>
      </c>
      <c r="F33" s="37">
        <v>0</v>
      </c>
      <c r="G33" s="37">
        <v>0</v>
      </c>
      <c r="H33" s="135">
        <f t="shared" si="2"/>
        <v>0</v>
      </c>
      <c r="I33" s="37">
        <v>0</v>
      </c>
      <c r="J33" s="37"/>
    </row>
    <row r="34" spans="1:10">
      <c r="A34" s="134">
        <v>45770</v>
      </c>
      <c r="B34" t="s">
        <v>64</v>
      </c>
      <c r="C34" t="s">
        <v>368</v>
      </c>
      <c r="D34" t="s">
        <v>367</v>
      </c>
      <c r="E34" s="37">
        <v>2</v>
      </c>
      <c r="F34" s="37">
        <v>0</v>
      </c>
      <c r="G34" s="37">
        <v>0</v>
      </c>
      <c r="H34" s="135">
        <f t="shared" si="2"/>
        <v>0</v>
      </c>
      <c r="I34" s="37">
        <v>0</v>
      </c>
      <c r="J34" s="37"/>
    </row>
    <row r="35" spans="1:10">
      <c r="A35" s="134">
        <v>45770</v>
      </c>
      <c r="B35" t="s">
        <v>62</v>
      </c>
      <c r="C35" t="s">
        <v>368</v>
      </c>
      <c r="D35" t="s">
        <v>367</v>
      </c>
      <c r="E35" s="37">
        <v>6</v>
      </c>
      <c r="F35" s="37">
        <v>0</v>
      </c>
      <c r="G35" s="37">
        <v>0</v>
      </c>
      <c r="H35" s="135">
        <f t="shared" si="2"/>
        <v>0</v>
      </c>
      <c r="I35" s="37">
        <v>0</v>
      </c>
      <c r="J35" s="37"/>
    </row>
    <row r="36" spans="1:10">
      <c r="A36" s="134"/>
      <c r="E36" s="37"/>
      <c r="F36" s="37"/>
      <c r="G36" s="37"/>
      <c r="H36" s="135"/>
      <c r="I36" s="37"/>
      <c r="J36" s="37"/>
    </row>
    <row r="37" spans="1:10">
      <c r="A37" s="134"/>
      <c r="E37" s="37"/>
      <c r="F37" s="37"/>
      <c r="G37" s="37"/>
      <c r="H37" s="135"/>
      <c r="I37" s="37"/>
      <c r="J37" s="37"/>
    </row>
    <row r="38" spans="1:10">
      <c r="A38" s="134"/>
      <c r="E38" s="37"/>
      <c r="F38" s="37"/>
      <c r="G38" s="37"/>
      <c r="H38" s="135"/>
      <c r="I38" s="37"/>
      <c r="J38" s="37"/>
    </row>
    <row r="39" spans="1:10">
      <c r="A39" s="134"/>
      <c r="E39" s="37"/>
      <c r="F39" s="37"/>
      <c r="G39" s="37"/>
      <c r="H39" s="135"/>
      <c r="I39" s="37"/>
      <c r="J39" s="37"/>
    </row>
    <row r="40" spans="1:10">
      <c r="A40" s="134"/>
      <c r="E40" s="37"/>
      <c r="F40" s="37"/>
      <c r="G40" s="37"/>
      <c r="H40" s="135"/>
      <c r="I40" s="37"/>
      <c r="J40" s="37"/>
    </row>
    <row r="41" spans="1:10">
      <c r="A41" s="134"/>
      <c r="E41" s="37"/>
      <c r="F41" s="37"/>
      <c r="G41" s="37"/>
      <c r="H41" s="135"/>
      <c r="I41" s="37"/>
      <c r="J41" s="37"/>
    </row>
    <row r="42" spans="1:10">
      <c r="A42" s="134"/>
      <c r="E42" s="37"/>
      <c r="F42" s="37"/>
      <c r="G42" s="37"/>
      <c r="H42" s="135"/>
      <c r="I42" s="37"/>
      <c r="J42" s="37"/>
    </row>
    <row r="43" spans="1:10">
      <c r="A43" s="134"/>
      <c r="E43" s="37"/>
      <c r="F43" s="37"/>
      <c r="G43" s="37"/>
      <c r="H43" s="135"/>
      <c r="I43" s="37"/>
      <c r="J43" s="37"/>
    </row>
    <row r="44" spans="1:10">
      <c r="A44" s="134"/>
      <c r="E44" s="37"/>
      <c r="F44" s="37"/>
      <c r="G44" s="37"/>
      <c r="H44" s="135"/>
      <c r="I44" s="37"/>
      <c r="J44" s="37"/>
    </row>
    <row r="45" spans="1:10">
      <c r="A45" s="134"/>
      <c r="E45" s="37"/>
      <c r="F45" s="37"/>
      <c r="G45" s="37"/>
      <c r="H45" s="135"/>
      <c r="I45" s="37"/>
      <c r="J45" s="37"/>
    </row>
    <row r="46" spans="1:10">
      <c r="A46" s="134"/>
      <c r="E46" s="37"/>
      <c r="F46" s="37"/>
      <c r="G46" s="37"/>
      <c r="H46" s="135"/>
      <c r="I46" s="37"/>
      <c r="J46" s="40"/>
    </row>
    <row r="47" spans="1:10">
      <c r="A47" s="134"/>
      <c r="E47" s="37"/>
      <c r="F47" s="37"/>
      <c r="G47" s="37"/>
      <c r="H47" s="135"/>
      <c r="I47" s="37"/>
      <c r="J47" s="37"/>
    </row>
    <row r="48" spans="1:10">
      <c r="A48" s="134"/>
      <c r="E48" s="37"/>
      <c r="F48" s="37"/>
      <c r="G48" s="37"/>
      <c r="H48" s="135"/>
      <c r="I48" s="37"/>
      <c r="J48" s="37"/>
    </row>
    <row r="49" spans="1:10">
      <c r="A49" s="134"/>
      <c r="E49" s="37"/>
      <c r="F49" s="37"/>
      <c r="G49" s="37"/>
      <c r="H49" s="135"/>
      <c r="I49" s="37"/>
      <c r="J49" s="40"/>
    </row>
    <row r="50" spans="1:10">
      <c r="A50" s="134"/>
      <c r="E50" s="37"/>
      <c r="F50" s="37"/>
      <c r="G50" s="37"/>
      <c r="H50" s="135"/>
      <c r="I50" s="37"/>
      <c r="J50" s="37"/>
    </row>
    <row r="51" spans="1:10">
      <c r="A51" s="134"/>
      <c r="E51" s="37"/>
      <c r="F51" s="37"/>
      <c r="G51" s="37"/>
      <c r="H51" s="135"/>
      <c r="I51" s="37"/>
      <c r="J51" s="37"/>
    </row>
    <row r="52" spans="1:10">
      <c r="A52" s="134"/>
      <c r="E52" s="37"/>
      <c r="F52" s="37"/>
      <c r="G52" s="37"/>
      <c r="H52" s="135"/>
      <c r="I52" s="37"/>
      <c r="J52" s="37"/>
    </row>
    <row r="53" spans="1:10">
      <c r="A53" s="134"/>
      <c r="E53" s="37"/>
      <c r="F53" s="37"/>
      <c r="G53" s="37"/>
      <c r="H53" s="135"/>
      <c r="I53" s="37"/>
      <c r="J53" s="40"/>
    </row>
    <row r="54" spans="1:10">
      <c r="A54" s="134"/>
      <c r="E54" s="37"/>
      <c r="F54" s="37"/>
      <c r="G54" s="37"/>
      <c r="H54" s="135"/>
      <c r="I54" s="37"/>
      <c r="J54" s="37"/>
    </row>
    <row r="55" spans="1:10">
      <c r="A55" s="134"/>
      <c r="E55" s="37"/>
      <c r="F55" s="37"/>
      <c r="G55" s="37"/>
      <c r="H55" s="135"/>
      <c r="I55" s="37"/>
      <c r="J55" s="37"/>
    </row>
    <row r="56" spans="1:10">
      <c r="A56" s="134"/>
      <c r="E56" s="37"/>
      <c r="F56" s="37"/>
      <c r="G56" s="37"/>
      <c r="H56" s="135"/>
      <c r="I56" s="37"/>
      <c r="J56" s="37"/>
    </row>
    <row r="57" spans="1:10">
      <c r="A57" s="134"/>
      <c r="E57" s="37"/>
      <c r="F57" s="37"/>
      <c r="G57" s="37"/>
      <c r="H57" s="135"/>
      <c r="I57" s="37"/>
      <c r="J57" s="37"/>
    </row>
    <row r="58" spans="1:10">
      <c r="A58" s="134"/>
      <c r="E58" s="37"/>
      <c r="F58" s="37"/>
      <c r="G58" s="37"/>
      <c r="H58" s="135"/>
      <c r="I58" s="37"/>
      <c r="J58" s="37"/>
    </row>
    <row r="59" spans="1:10">
      <c r="A59" s="134"/>
      <c r="E59" s="37"/>
      <c r="F59" s="37"/>
      <c r="G59" s="37"/>
      <c r="H59" s="135"/>
      <c r="I59" s="37"/>
      <c r="J59" s="37"/>
    </row>
    <row r="60" spans="1:10">
      <c r="A60" s="134"/>
      <c r="E60" s="37"/>
      <c r="F60" s="37"/>
      <c r="G60" s="37"/>
      <c r="H60" s="135"/>
      <c r="I60" s="37"/>
      <c r="J60" s="37"/>
    </row>
    <row r="61" spans="1:10">
      <c r="A61" s="134"/>
      <c r="E61" s="37"/>
      <c r="F61" s="37"/>
      <c r="G61" s="37"/>
      <c r="H61" s="135"/>
      <c r="I61" s="37"/>
      <c r="J61" s="37"/>
    </row>
    <row r="62" spans="1:10">
      <c r="A62" s="134"/>
      <c r="E62" s="37"/>
      <c r="F62" s="37"/>
      <c r="G62" s="37"/>
      <c r="H62" s="135"/>
      <c r="I62" s="37"/>
      <c r="J62" s="37"/>
    </row>
    <row r="63" spans="1:10">
      <c r="A63" s="134"/>
      <c r="E63" s="37"/>
      <c r="F63" s="37"/>
      <c r="G63" s="37"/>
      <c r="H63" s="135"/>
      <c r="I63" s="37"/>
      <c r="J63" s="40"/>
    </row>
    <row r="64" spans="1:10">
      <c r="A64" s="134"/>
      <c r="E64" s="37"/>
      <c r="F64" s="37"/>
      <c r="G64" s="37"/>
      <c r="H64" s="37"/>
      <c r="I64" s="37"/>
      <c r="J64" s="37"/>
    </row>
    <row r="65" spans="1:10">
      <c r="A65" s="134"/>
      <c r="E65" s="37"/>
      <c r="F65" s="37"/>
      <c r="G65" s="37"/>
      <c r="H65" s="40"/>
      <c r="I65" s="37"/>
      <c r="J65" s="37"/>
    </row>
    <row r="66" spans="1:10">
      <c r="A66" s="134"/>
      <c r="E66" s="37"/>
      <c r="F66" s="37"/>
      <c r="G66" s="37"/>
      <c r="H66" s="37"/>
      <c r="I66" s="37"/>
      <c r="J66" s="37"/>
    </row>
    <row r="67" spans="1:10">
      <c r="A67" s="134"/>
      <c r="E67" s="37"/>
      <c r="F67" s="37"/>
      <c r="G67" s="37"/>
      <c r="H67" s="37"/>
      <c r="I67" s="37"/>
      <c r="J67" s="37"/>
    </row>
    <row r="68" spans="1:10">
      <c r="A68" s="134"/>
      <c r="E68" s="37"/>
      <c r="F68" s="37"/>
      <c r="G68" s="37"/>
      <c r="H68" s="37"/>
      <c r="I68" s="37"/>
      <c r="J68" s="37"/>
    </row>
    <row r="69" spans="1:10">
      <c r="A69" s="134"/>
      <c r="E69" s="37"/>
      <c r="F69" s="37"/>
      <c r="G69" s="37"/>
      <c r="H69" s="40"/>
      <c r="I69" s="37"/>
      <c r="J69" s="37"/>
    </row>
    <row r="70" spans="1:10">
      <c r="A70" s="134"/>
      <c r="E70" s="37"/>
      <c r="F70" s="37"/>
      <c r="G70" s="37"/>
      <c r="H70" s="37"/>
      <c r="I70" s="37"/>
      <c r="J70" s="37"/>
    </row>
    <row r="71" spans="1:10">
      <c r="A71" s="134"/>
      <c r="E71" s="37"/>
      <c r="F71" s="37"/>
      <c r="G71" s="37"/>
      <c r="H71" s="40"/>
      <c r="I71" s="37"/>
      <c r="J71" s="37"/>
    </row>
    <row r="72" spans="1:10">
      <c r="A72" s="134"/>
      <c r="E72" s="37"/>
      <c r="F72" s="37"/>
      <c r="G72" s="37"/>
      <c r="H72" s="37"/>
      <c r="I72" s="37"/>
      <c r="J72" s="37"/>
    </row>
    <row r="73" spans="1:10">
      <c r="A73" s="134"/>
      <c r="E73" s="37"/>
      <c r="F73" s="37"/>
      <c r="G73" s="37"/>
      <c r="H73" s="40"/>
      <c r="I73" s="37"/>
      <c r="J73" s="37"/>
    </row>
    <row r="74" spans="1:10">
      <c r="A74" s="134"/>
      <c r="E74" s="37"/>
      <c r="F74" s="37"/>
      <c r="G74" s="37"/>
      <c r="H74" s="37"/>
      <c r="I74" s="37"/>
      <c r="J74" s="37"/>
    </row>
    <row r="75" spans="1:10">
      <c r="A75" s="134"/>
      <c r="E75" s="37"/>
      <c r="F75" s="37"/>
      <c r="G75" s="37"/>
      <c r="H75" s="37"/>
      <c r="I75" s="37"/>
      <c r="J75" s="37"/>
    </row>
    <row r="76" spans="1:10">
      <c r="A76" s="134"/>
      <c r="E76" s="37"/>
      <c r="F76" s="37"/>
      <c r="G76" s="37"/>
      <c r="H76" s="40"/>
      <c r="I76" s="37"/>
      <c r="J76" s="40"/>
    </row>
    <row r="77" spans="1:10">
      <c r="A77" s="134"/>
      <c r="E77" s="37"/>
      <c r="F77" s="37"/>
      <c r="G77" s="37"/>
      <c r="H77" s="40"/>
      <c r="I77" s="37"/>
      <c r="J77" s="40"/>
    </row>
    <row r="78" spans="1:10">
      <c r="A78" s="134"/>
      <c r="E78" s="37"/>
      <c r="F78" s="37"/>
      <c r="G78" s="37"/>
      <c r="H78" s="37"/>
      <c r="I78" s="37"/>
      <c r="J78" s="37"/>
    </row>
    <row r="79" spans="1:10">
      <c r="A79" s="134"/>
      <c r="E79" s="37"/>
      <c r="F79" s="37"/>
      <c r="G79" s="37"/>
      <c r="H79" s="37"/>
      <c r="I79" s="37"/>
      <c r="J79" s="37"/>
    </row>
    <row r="80" spans="1:10">
      <c r="A80" s="134"/>
      <c r="E80" s="37"/>
      <c r="F80" s="37"/>
      <c r="G80" s="37"/>
      <c r="H80" s="37"/>
      <c r="I80" s="37"/>
      <c r="J80" s="37"/>
    </row>
    <row r="81" spans="1:10">
      <c r="A81" s="134"/>
      <c r="E81" s="37"/>
      <c r="F81" s="37"/>
      <c r="G81" s="37"/>
      <c r="H81" s="40"/>
      <c r="I81" s="37"/>
      <c r="J81" s="40"/>
    </row>
    <row r="82" spans="1:10">
      <c r="A82" s="134"/>
      <c r="E82" s="37"/>
      <c r="F82" s="37"/>
      <c r="G82" s="37"/>
      <c r="H82" s="40"/>
      <c r="I82" s="37"/>
      <c r="J82" s="37"/>
    </row>
    <row r="83" spans="1:10">
      <c r="A83" s="134"/>
      <c r="E83" s="37"/>
      <c r="F83" s="37"/>
      <c r="G83" s="37"/>
      <c r="H83" s="40"/>
      <c r="I83" s="37"/>
      <c r="J83" s="37"/>
    </row>
    <row r="84" spans="1:10">
      <c r="A84" s="134"/>
      <c r="E84" s="37"/>
      <c r="F84" s="37"/>
      <c r="G84" s="37"/>
      <c r="H84" s="37"/>
      <c r="I84" s="37"/>
      <c r="J84" s="37"/>
    </row>
    <row r="85" spans="1:10">
      <c r="A85" s="134"/>
      <c r="E85" s="37"/>
      <c r="F85" s="37"/>
      <c r="G85" s="37"/>
      <c r="H85" s="40"/>
      <c r="I85" s="37"/>
      <c r="J85" s="37"/>
    </row>
    <row r="86" spans="1:10">
      <c r="A86" s="134"/>
      <c r="E86" s="37"/>
      <c r="F86" s="37"/>
      <c r="G86" s="37"/>
      <c r="H86" s="37"/>
      <c r="I86" s="37"/>
      <c r="J86" s="37"/>
    </row>
    <row r="87" spans="1:10">
      <c r="A87" s="134"/>
      <c r="E87" s="37"/>
      <c r="F87" s="37"/>
      <c r="G87" s="37"/>
      <c r="H87" s="37"/>
      <c r="I87" s="37"/>
      <c r="J87" s="37"/>
    </row>
    <row r="88" spans="1:10">
      <c r="A88" s="134"/>
      <c r="E88" s="37"/>
      <c r="F88" s="37"/>
      <c r="G88" s="37"/>
      <c r="H88" s="40"/>
      <c r="I88" s="37"/>
      <c r="J88" s="37"/>
    </row>
    <row r="89" spans="1:10">
      <c r="A89" s="134"/>
      <c r="E89" s="37"/>
      <c r="F89" s="37"/>
      <c r="G89" s="37"/>
      <c r="H89" s="40"/>
      <c r="I89" s="37"/>
      <c r="J89" s="37"/>
    </row>
    <row r="90" spans="1:10">
      <c r="A90" s="134"/>
      <c r="E90" s="37"/>
      <c r="F90" s="37"/>
      <c r="G90" s="37"/>
      <c r="H90" s="37"/>
      <c r="I90" s="37"/>
      <c r="J90" s="37"/>
    </row>
    <row r="91" spans="1:10">
      <c r="A91" s="134"/>
      <c r="E91" s="37"/>
      <c r="F91" s="37"/>
      <c r="G91" s="37"/>
      <c r="H91" s="40"/>
      <c r="I91" s="37"/>
      <c r="J91" s="37"/>
    </row>
    <row r="92" spans="1:10">
      <c r="A92" s="134"/>
      <c r="E92" s="37"/>
      <c r="F92" s="37"/>
      <c r="G92" s="37"/>
      <c r="H92" s="40"/>
      <c r="I92" s="37"/>
      <c r="J92" s="37"/>
    </row>
    <row r="93" spans="1:10">
      <c r="A93" s="134"/>
      <c r="E93" s="37"/>
      <c r="F93" s="37"/>
      <c r="G93" s="37"/>
      <c r="H93" s="40"/>
      <c r="I93" s="37"/>
      <c r="J93" s="37"/>
    </row>
    <row r="94" spans="1:10">
      <c r="A94" s="134"/>
      <c r="E94" s="37"/>
      <c r="F94" s="37"/>
      <c r="G94" s="37"/>
      <c r="H94" s="40"/>
      <c r="I94" s="37"/>
      <c r="J94" s="37"/>
    </row>
    <row r="95" spans="1:10">
      <c r="A95" s="134"/>
      <c r="E95" s="37"/>
      <c r="F95" s="37"/>
      <c r="G95" s="37"/>
      <c r="H95" s="37"/>
      <c r="I95" s="37"/>
      <c r="J95" s="37"/>
    </row>
    <row r="96" spans="1:10">
      <c r="A96" s="134"/>
      <c r="E96" s="37"/>
      <c r="F96" s="37"/>
      <c r="G96" s="37"/>
      <c r="H96" s="37"/>
      <c r="I96" s="37"/>
      <c r="J96" s="37"/>
    </row>
    <row r="97" spans="1:10">
      <c r="A97" s="134"/>
      <c r="E97" s="37"/>
      <c r="F97" s="37"/>
      <c r="G97" s="37"/>
      <c r="H97" s="40"/>
      <c r="I97" s="37"/>
      <c r="J97" s="37"/>
    </row>
    <row r="98" spans="1:10">
      <c r="A98" s="134"/>
      <c r="E98" s="37"/>
      <c r="F98" s="37"/>
      <c r="G98" s="37"/>
      <c r="H98" s="40"/>
      <c r="I98" s="37"/>
      <c r="J98" s="40"/>
    </row>
    <row r="99" spans="1:10">
      <c r="A99" s="134"/>
      <c r="E99" s="37"/>
      <c r="F99" s="37"/>
      <c r="G99" s="37"/>
      <c r="H99" s="37"/>
      <c r="I99" s="37"/>
      <c r="J99" s="37"/>
    </row>
    <row r="100" spans="1:10">
      <c r="A100" s="134"/>
      <c r="E100" s="37"/>
      <c r="F100" s="37"/>
      <c r="G100" s="37"/>
      <c r="H100" s="40"/>
      <c r="I100" s="37"/>
      <c r="J100" s="37"/>
    </row>
    <row r="101" spans="1:10">
      <c r="A101" s="134"/>
      <c r="E101" s="37"/>
      <c r="F101" s="37"/>
      <c r="G101" s="37"/>
      <c r="H101" s="37"/>
      <c r="I101" s="37"/>
      <c r="J101" s="37"/>
    </row>
    <row r="102" spans="1:10">
      <c r="A102" s="134"/>
      <c r="E102" s="37"/>
      <c r="F102" s="37"/>
      <c r="G102" s="37"/>
      <c r="H102" s="37"/>
      <c r="I102" s="37"/>
      <c r="J102" s="37"/>
    </row>
    <row r="103" spans="1:10">
      <c r="A103" s="134"/>
      <c r="E103" s="37"/>
      <c r="F103" s="37"/>
      <c r="G103" s="37"/>
      <c r="H103" s="37"/>
      <c r="I103" s="37"/>
      <c r="J103" s="37"/>
    </row>
    <row r="104" spans="1:10">
      <c r="A104" s="134"/>
      <c r="E104" s="37"/>
      <c r="F104" s="37"/>
      <c r="G104" s="37"/>
      <c r="H104" s="37"/>
      <c r="I104" s="37"/>
      <c r="J104" s="37"/>
    </row>
    <row r="105" spans="1:10">
      <c r="A105" s="134"/>
      <c r="E105" s="37"/>
      <c r="F105" s="37"/>
      <c r="G105" s="37"/>
      <c r="H105" s="37"/>
      <c r="I105" s="37"/>
      <c r="J105" s="37"/>
    </row>
    <row r="106" spans="1:10">
      <c r="A106" s="134"/>
      <c r="E106" s="37"/>
      <c r="F106" s="37"/>
      <c r="G106" s="37"/>
      <c r="H106" s="37"/>
      <c r="I106" s="37"/>
      <c r="J106" s="37"/>
    </row>
    <row r="107" spans="1:10">
      <c r="A107" s="134"/>
      <c r="E107" s="37"/>
      <c r="F107" s="37"/>
      <c r="G107" s="37"/>
      <c r="H107" s="37"/>
      <c r="I107" s="37"/>
      <c r="J107" s="37"/>
    </row>
    <row r="108" spans="1:10">
      <c r="A108" s="134"/>
      <c r="E108" s="37"/>
      <c r="F108" s="37"/>
      <c r="G108" s="37"/>
      <c r="H108" s="37"/>
      <c r="I108" s="37"/>
      <c r="J108" s="37"/>
    </row>
    <row r="109" spans="1:10">
      <c r="A109" s="134"/>
      <c r="E109" s="37"/>
      <c r="F109" s="37"/>
      <c r="G109" s="37"/>
      <c r="H109" s="40"/>
      <c r="I109" s="37"/>
      <c r="J109" s="37"/>
    </row>
    <row r="110" spans="1:10">
      <c r="A110" s="134"/>
      <c r="E110" s="37"/>
      <c r="F110" s="37"/>
      <c r="G110" s="37"/>
      <c r="H110" s="37"/>
      <c r="I110" s="37"/>
      <c r="J110" s="37"/>
    </row>
    <row r="111" spans="1:10">
      <c r="A111" s="134"/>
      <c r="E111" s="40"/>
      <c r="F111" s="37"/>
      <c r="G111" s="37"/>
      <c r="H111" s="37"/>
      <c r="I111" s="37"/>
      <c r="J111" s="37"/>
    </row>
    <row r="112" spans="1:10">
      <c r="A112" s="134"/>
      <c r="E112" s="37"/>
      <c r="F112" s="37"/>
      <c r="G112" s="37"/>
      <c r="H112" s="37"/>
      <c r="I112" s="37"/>
      <c r="J112" s="37"/>
    </row>
    <row r="113" spans="1:10">
      <c r="A113" s="134"/>
      <c r="E113" s="37"/>
      <c r="F113" s="37"/>
      <c r="G113" s="37"/>
      <c r="H113" s="37"/>
      <c r="I113" s="37"/>
      <c r="J113" s="37"/>
    </row>
    <row r="114" spans="1:10">
      <c r="A114" s="134"/>
      <c r="E114" s="37"/>
      <c r="F114" s="37"/>
      <c r="G114" s="37"/>
      <c r="H114" s="37"/>
      <c r="I114" s="37"/>
      <c r="J114" s="37"/>
    </row>
    <row r="115" spans="1:10">
      <c r="A115" s="134"/>
      <c r="E115" s="37"/>
      <c r="F115" s="37"/>
      <c r="G115" s="37"/>
      <c r="H115" s="37"/>
      <c r="I115" s="37"/>
      <c r="J115" s="37"/>
    </row>
    <row r="116" spans="1:10">
      <c r="A116" s="134"/>
      <c r="E116" s="37"/>
      <c r="F116" s="37"/>
      <c r="G116" s="37"/>
      <c r="H116" s="37"/>
      <c r="I116" s="37"/>
      <c r="J116" s="37"/>
    </row>
    <row r="117" spans="1:10">
      <c r="A117" s="134"/>
      <c r="E117" s="37"/>
      <c r="F117" s="37"/>
      <c r="G117" s="37"/>
      <c r="H117" s="37"/>
      <c r="I117" s="37"/>
      <c r="J117" s="37"/>
    </row>
    <row r="118" spans="1:10">
      <c r="A118" s="134"/>
      <c r="E118" s="37"/>
      <c r="F118" s="37"/>
      <c r="G118" s="37"/>
      <c r="H118" s="37"/>
      <c r="I118" s="37"/>
      <c r="J118" s="37"/>
    </row>
    <row r="119" spans="1:10">
      <c r="A119" s="134"/>
      <c r="E119" s="37"/>
      <c r="F119" s="37"/>
      <c r="G119" s="37"/>
      <c r="H119" s="37"/>
      <c r="I119" s="37"/>
      <c r="J119" s="37"/>
    </row>
    <row r="120" spans="1:10">
      <c r="A120" s="134"/>
      <c r="E120" s="37"/>
      <c r="F120" s="37"/>
      <c r="G120" s="37"/>
      <c r="H120" s="37"/>
      <c r="I120" s="37"/>
      <c r="J120" s="37"/>
    </row>
    <row r="121" spans="1:10">
      <c r="A121" s="134"/>
      <c r="E121" s="37"/>
      <c r="F121" s="37"/>
      <c r="G121" s="37"/>
      <c r="H121" s="37"/>
      <c r="I121" s="37"/>
      <c r="J121" s="37"/>
    </row>
    <row r="122" spans="1:10">
      <c r="A122" s="134"/>
      <c r="E122" s="37"/>
      <c r="F122" s="37"/>
      <c r="G122" s="37"/>
      <c r="H122" s="37"/>
      <c r="I122" s="37"/>
      <c r="J122" s="37"/>
    </row>
    <row r="123" spans="1:10">
      <c r="A123" s="134"/>
      <c r="E123" s="37"/>
      <c r="F123" s="37"/>
      <c r="G123" s="37"/>
      <c r="H123" s="37"/>
      <c r="I123" s="37"/>
      <c r="J123" s="37"/>
    </row>
    <row r="124" spans="1:10">
      <c r="A124" s="134"/>
      <c r="E124" s="37"/>
      <c r="F124" s="37"/>
      <c r="G124" s="37"/>
      <c r="H124" s="37"/>
      <c r="I124" s="37"/>
      <c r="J124" s="37"/>
    </row>
    <row r="125" spans="1:10">
      <c r="A125" s="134"/>
      <c r="E125" s="40"/>
      <c r="F125" s="37"/>
      <c r="G125" s="37"/>
      <c r="H125" s="40"/>
      <c r="I125" s="37"/>
      <c r="J125" s="37"/>
    </row>
    <row r="126" spans="1:10">
      <c r="A126" s="134"/>
      <c r="E126" s="37"/>
      <c r="F126" s="37"/>
      <c r="G126" s="37"/>
      <c r="H126" s="37"/>
      <c r="I126" s="37"/>
      <c r="J126" s="37"/>
    </row>
    <row r="127" spans="1:10">
      <c r="A127" s="134"/>
      <c r="E127" s="37"/>
      <c r="F127" s="37"/>
      <c r="G127" s="37"/>
      <c r="H127" s="40"/>
      <c r="I127" s="37"/>
      <c r="J127" s="37"/>
    </row>
    <row r="128" spans="1:10">
      <c r="A128" s="134"/>
      <c r="E128" s="37"/>
      <c r="F128" s="37"/>
      <c r="G128" s="37"/>
      <c r="H128" s="40"/>
      <c r="I128" s="37"/>
      <c r="J128" s="37"/>
    </row>
    <row r="129" spans="1:10">
      <c r="A129" s="134"/>
      <c r="E129" s="37"/>
      <c r="F129" s="37"/>
      <c r="G129" s="37"/>
      <c r="H129" s="40"/>
      <c r="I129" s="37"/>
      <c r="J129" s="37"/>
    </row>
    <row r="130" spans="1:10">
      <c r="A130" s="134"/>
      <c r="E130" s="37"/>
      <c r="F130" s="37"/>
      <c r="G130" s="37"/>
      <c r="H130" s="37"/>
      <c r="I130" s="37"/>
      <c r="J130" s="37"/>
    </row>
    <row r="131" spans="1:10">
      <c r="A131" s="134"/>
      <c r="E131" s="40"/>
      <c r="F131" s="37"/>
      <c r="G131" s="37"/>
      <c r="H131" s="37"/>
      <c r="I131" s="37"/>
      <c r="J131" s="37"/>
    </row>
    <row r="132" spans="1:10">
      <c r="A132" s="134"/>
      <c r="E132" s="40"/>
      <c r="F132" s="37"/>
      <c r="G132" s="37"/>
      <c r="H132" s="37"/>
      <c r="I132" s="37"/>
      <c r="J132" s="37"/>
    </row>
    <row r="133" spans="1:10">
      <c r="A133" s="134"/>
      <c r="E133" s="37"/>
      <c r="F133" s="37"/>
      <c r="G133" s="37"/>
      <c r="H133" s="37"/>
      <c r="I133" s="37"/>
      <c r="J133" s="37"/>
    </row>
    <row r="134" spans="1:10">
      <c r="A134" s="134"/>
      <c r="E134" s="37"/>
      <c r="F134" s="37"/>
      <c r="G134" s="37"/>
      <c r="H134" s="37"/>
      <c r="I134" s="37"/>
      <c r="J134" s="37"/>
    </row>
    <row r="135" spans="1:10">
      <c r="A135" s="134"/>
      <c r="E135" s="37"/>
      <c r="F135" s="37"/>
      <c r="G135" s="37"/>
      <c r="H135" s="37"/>
      <c r="I135" s="37"/>
      <c r="J135" s="37"/>
    </row>
    <row r="136" spans="1:10">
      <c r="A136" s="134"/>
      <c r="E136" s="37"/>
      <c r="F136" s="37"/>
      <c r="G136" s="37"/>
      <c r="H136" s="40"/>
      <c r="I136" s="37"/>
      <c r="J136" s="37"/>
    </row>
    <row r="137" spans="1:10">
      <c r="A137" s="134"/>
      <c r="E137" s="37"/>
      <c r="F137" s="37"/>
      <c r="G137" s="37"/>
      <c r="H137" s="37"/>
      <c r="I137" s="37"/>
      <c r="J137" s="37"/>
    </row>
    <row r="138" spans="1:10">
      <c r="A138" s="134"/>
      <c r="E138" s="37"/>
      <c r="F138" s="37"/>
      <c r="G138" s="37"/>
      <c r="H138" s="37"/>
      <c r="I138" s="37"/>
      <c r="J138" s="37"/>
    </row>
    <row r="139" spans="1:10">
      <c r="A139" s="134"/>
      <c r="E139" s="37"/>
      <c r="F139" s="37"/>
      <c r="G139" s="37"/>
      <c r="H139" s="37"/>
      <c r="I139" s="37"/>
      <c r="J139" s="37"/>
    </row>
    <row r="140" spans="1:10">
      <c r="A140" s="134"/>
      <c r="E140" s="37"/>
      <c r="F140" s="37"/>
      <c r="G140" s="37"/>
      <c r="H140" s="37"/>
      <c r="I140" s="37"/>
      <c r="J140" s="37"/>
    </row>
    <row r="141" spans="1:10">
      <c r="A141" s="134"/>
      <c r="E141" s="37"/>
      <c r="F141" s="37"/>
      <c r="G141" s="37"/>
      <c r="H141" s="40"/>
      <c r="I141" s="37"/>
      <c r="J141" s="37"/>
    </row>
    <row r="142" spans="1:10">
      <c r="A142" s="134"/>
      <c r="E142" s="37"/>
      <c r="F142" s="37"/>
      <c r="G142" s="37"/>
      <c r="H142" s="37"/>
      <c r="I142" s="37"/>
      <c r="J142" s="37"/>
    </row>
    <row r="143" spans="1:10">
      <c r="A143" s="134"/>
      <c r="E143" s="37"/>
      <c r="F143" s="37"/>
      <c r="G143" s="37"/>
      <c r="H143" s="40"/>
      <c r="I143" s="37"/>
      <c r="J143" s="37"/>
    </row>
    <row r="144" spans="1:10">
      <c r="A144" s="134"/>
      <c r="E144" s="37"/>
      <c r="F144" s="37"/>
      <c r="G144" s="37"/>
      <c r="H144" s="37"/>
      <c r="I144" s="37"/>
      <c r="J144" s="37"/>
    </row>
    <row r="145" spans="1:10">
      <c r="A145" s="134"/>
      <c r="E145" s="37"/>
      <c r="F145" s="37"/>
      <c r="G145" s="37"/>
      <c r="H145" s="37"/>
      <c r="I145" s="37"/>
      <c r="J145" s="37"/>
    </row>
    <row r="146" spans="1:10">
      <c r="A146" s="134"/>
      <c r="E146" s="37"/>
      <c r="F146" s="37"/>
      <c r="G146" s="37"/>
      <c r="H146" s="37"/>
      <c r="I146" s="37"/>
      <c r="J146" s="37"/>
    </row>
    <row r="147" spans="1:10">
      <c r="A147" s="134"/>
      <c r="E147" s="37"/>
      <c r="F147" s="37"/>
      <c r="G147" s="37"/>
      <c r="H147" s="37"/>
      <c r="I147" s="37"/>
      <c r="J147" s="37"/>
    </row>
    <row r="148" spans="1:10">
      <c r="A148" s="134"/>
      <c r="E148" s="37"/>
      <c r="F148" s="37"/>
      <c r="G148" s="37"/>
      <c r="H148" s="37"/>
      <c r="I148" s="37"/>
      <c r="J148" s="37"/>
    </row>
    <row r="149" spans="1:10">
      <c r="A149" s="134"/>
      <c r="E149" s="37"/>
      <c r="F149" s="37"/>
      <c r="G149" s="37"/>
      <c r="H149" s="37"/>
      <c r="I149" s="37"/>
      <c r="J149" s="37"/>
    </row>
    <row r="150" spans="1:10">
      <c r="A150" s="134"/>
      <c r="E150" s="37"/>
      <c r="F150" s="37"/>
      <c r="G150" s="37"/>
      <c r="H150" s="40"/>
      <c r="I150" s="37"/>
      <c r="J150" s="40"/>
    </row>
    <row r="151" spans="1:10">
      <c r="A151" s="134"/>
      <c r="E151" s="37"/>
      <c r="F151" s="37"/>
      <c r="G151" s="37"/>
      <c r="H151" s="37"/>
      <c r="I151" s="37"/>
      <c r="J151" s="37"/>
    </row>
    <row r="152" spans="1:10">
      <c r="A152" s="134"/>
      <c r="E152" s="37"/>
      <c r="F152" s="37"/>
      <c r="G152" s="37"/>
      <c r="H152" s="37"/>
      <c r="I152" s="37"/>
      <c r="J152" s="37"/>
    </row>
    <row r="153" spans="1:10">
      <c r="A153" s="134"/>
      <c r="E153" s="37"/>
      <c r="F153" s="37"/>
      <c r="G153" s="37"/>
      <c r="H153" s="37"/>
      <c r="I153" s="37"/>
      <c r="J153" s="37"/>
    </row>
    <row r="154" spans="1:10">
      <c r="A154" s="134"/>
      <c r="E154" s="40"/>
      <c r="F154" s="37"/>
      <c r="G154" s="37"/>
      <c r="H154" s="40"/>
      <c r="I154" s="37"/>
      <c r="J154" s="40"/>
    </row>
    <row r="155" spans="1:10">
      <c r="A155" s="134"/>
      <c r="E155" s="37"/>
      <c r="F155" s="37"/>
      <c r="G155" s="37"/>
      <c r="H155" s="40"/>
      <c r="I155" s="37"/>
      <c r="J155" s="37"/>
    </row>
    <row r="156" spans="1:10">
      <c r="A156" s="134"/>
      <c r="E156" s="37"/>
      <c r="F156" s="37"/>
      <c r="G156" s="37"/>
      <c r="H156" s="40"/>
      <c r="I156" s="37"/>
      <c r="J156" s="37"/>
    </row>
    <row r="157" spans="1:10">
      <c r="A157" s="134"/>
      <c r="E157" s="37"/>
      <c r="F157" s="37"/>
      <c r="G157" s="37"/>
      <c r="H157" s="37"/>
      <c r="I157" s="37"/>
      <c r="J157" s="37"/>
    </row>
    <row r="158" spans="1:10">
      <c r="A158" s="134"/>
      <c r="E158" s="37"/>
      <c r="F158" s="37"/>
      <c r="G158" s="37"/>
      <c r="H158" s="40"/>
      <c r="I158" s="37"/>
      <c r="J158" s="37"/>
    </row>
    <row r="159" spans="1:10">
      <c r="A159" s="134"/>
      <c r="E159" s="37"/>
      <c r="F159" s="37"/>
      <c r="G159" s="37"/>
      <c r="H159" s="37"/>
      <c r="I159" s="37"/>
      <c r="J159" s="37"/>
    </row>
    <row r="160" spans="1:10">
      <c r="A160" s="134"/>
      <c r="E160" s="37"/>
      <c r="F160" s="37"/>
      <c r="G160" s="37"/>
      <c r="H160" s="40"/>
      <c r="I160" s="37"/>
      <c r="J160" s="37"/>
    </row>
    <row r="161" spans="1:10">
      <c r="A161" s="134"/>
      <c r="E161" s="37"/>
      <c r="F161" s="37"/>
      <c r="G161" s="37"/>
      <c r="H161" s="40"/>
      <c r="I161" s="37"/>
      <c r="J161" s="37"/>
    </row>
    <row r="162" spans="1:10">
      <c r="A162" s="134"/>
      <c r="E162" s="37"/>
      <c r="F162" s="37"/>
      <c r="G162" s="37"/>
      <c r="H162" s="40"/>
      <c r="I162" s="37"/>
      <c r="J162" s="37"/>
    </row>
    <row r="163" spans="1:10">
      <c r="A163" s="134"/>
      <c r="E163" s="37"/>
      <c r="F163" s="37"/>
      <c r="G163" s="37"/>
      <c r="H163" s="37"/>
      <c r="I163" s="37"/>
      <c r="J163" s="37"/>
    </row>
    <row r="164" spans="1:10">
      <c r="A164" s="134"/>
      <c r="E164" s="37"/>
      <c r="F164" s="37"/>
      <c r="G164" s="37"/>
      <c r="H164" s="37"/>
      <c r="I164" s="37"/>
      <c r="J164" s="37"/>
    </row>
    <row r="165" spans="1:10">
      <c r="A165" s="134"/>
      <c r="E165" s="37"/>
      <c r="F165" s="37"/>
      <c r="G165" s="37"/>
      <c r="H165" s="37"/>
      <c r="I165" s="37"/>
      <c r="J165" s="37"/>
    </row>
    <row r="166" spans="1:10">
      <c r="A166" s="134"/>
      <c r="E166" s="37"/>
      <c r="F166" s="37"/>
      <c r="G166" s="37"/>
      <c r="H166" s="37"/>
      <c r="I166" s="37"/>
      <c r="J166" s="37"/>
    </row>
    <row r="167" spans="1:10">
      <c r="A167" s="134"/>
      <c r="E167" s="37"/>
      <c r="F167" s="37"/>
      <c r="G167" s="37"/>
      <c r="H167" s="40"/>
      <c r="I167" s="37"/>
      <c r="J167" s="37"/>
    </row>
    <row r="168" spans="1:10">
      <c r="A168" s="134"/>
      <c r="E168" s="37"/>
      <c r="F168" s="37"/>
      <c r="G168" s="37"/>
      <c r="H168" s="37"/>
      <c r="I168" s="37"/>
      <c r="J168" s="37"/>
    </row>
    <row r="169" spans="1:10">
      <c r="A169" s="134"/>
      <c r="E169" s="37"/>
      <c r="F169" s="37"/>
      <c r="G169" s="37"/>
      <c r="H169" s="40"/>
      <c r="I169" s="37"/>
      <c r="J169" s="37"/>
    </row>
    <row r="170" spans="1:10">
      <c r="A170" s="134"/>
      <c r="E170" s="37"/>
      <c r="F170" s="37"/>
      <c r="G170" s="37"/>
      <c r="H170" s="37"/>
      <c r="I170" s="37"/>
      <c r="J170" s="37"/>
    </row>
    <row r="171" spans="1:10">
      <c r="A171" s="134"/>
      <c r="E171" s="37"/>
      <c r="F171" s="37"/>
      <c r="G171" s="37"/>
      <c r="H171" s="40"/>
      <c r="I171" s="37"/>
      <c r="J171" s="37"/>
    </row>
    <row r="172" spans="1:10">
      <c r="A172" s="134"/>
      <c r="E172" s="37"/>
      <c r="F172" s="37"/>
      <c r="G172" s="37"/>
      <c r="H172" s="40"/>
      <c r="I172" s="37"/>
      <c r="J172" s="37"/>
    </row>
    <row r="173" spans="1:10">
      <c r="A173" s="134"/>
      <c r="E173" s="37"/>
      <c r="F173" s="37"/>
      <c r="G173" s="37"/>
      <c r="H173" s="40"/>
      <c r="I173" s="37"/>
      <c r="J173" s="37"/>
    </row>
    <row r="174" spans="1:10">
      <c r="A174" s="134"/>
      <c r="E174" s="37"/>
      <c r="F174" s="37"/>
      <c r="G174" s="37"/>
      <c r="H174" s="40"/>
      <c r="I174" s="37"/>
      <c r="J174" s="40"/>
    </row>
    <row r="175" spans="1:10">
      <c r="A175" s="134"/>
      <c r="E175" s="37"/>
      <c r="F175" s="37"/>
      <c r="G175" s="37"/>
      <c r="H175" s="37"/>
      <c r="I175" s="37"/>
      <c r="J175" s="37"/>
    </row>
    <row r="176" spans="1:10">
      <c r="A176" s="134"/>
      <c r="E176" s="37"/>
      <c r="F176" s="37"/>
      <c r="G176" s="37"/>
      <c r="H176" s="40"/>
      <c r="I176" s="37"/>
      <c r="J176" s="37"/>
    </row>
    <row r="177" spans="1:10">
      <c r="A177" s="134"/>
      <c r="E177" s="37"/>
      <c r="F177" s="37"/>
      <c r="G177" s="37"/>
      <c r="H177" s="37"/>
      <c r="I177" s="37"/>
      <c r="J177" s="37"/>
    </row>
    <row r="178" spans="1:10">
      <c r="A178" s="134"/>
      <c r="E178" s="37"/>
      <c r="F178" s="37"/>
      <c r="G178" s="37"/>
      <c r="H178" s="40"/>
      <c r="I178" s="37"/>
      <c r="J178" s="40"/>
    </row>
    <row r="179" spans="1:10">
      <c r="A179" s="134"/>
      <c r="E179" s="40"/>
      <c r="F179" s="37"/>
      <c r="G179" s="37"/>
      <c r="H179" s="37"/>
      <c r="I179" s="37"/>
      <c r="J179" s="37"/>
    </row>
    <row r="180" spans="1:10">
      <c r="A180" s="134"/>
      <c r="E180" s="37"/>
      <c r="F180" s="37"/>
      <c r="G180" s="37"/>
      <c r="H180" s="37"/>
      <c r="I180" s="37"/>
      <c r="J180" s="37"/>
    </row>
    <row r="181" spans="1:10">
      <c r="A181" s="134"/>
      <c r="E181" s="37"/>
      <c r="F181" s="37"/>
      <c r="G181" s="37"/>
      <c r="H181" s="37"/>
      <c r="I181" s="37"/>
      <c r="J181" s="37"/>
    </row>
    <row r="182" spans="1:10">
      <c r="A182" s="134"/>
      <c r="E182" s="40"/>
      <c r="F182" s="37"/>
      <c r="G182" s="37"/>
      <c r="H182" s="40"/>
      <c r="I182" s="37"/>
      <c r="J182" s="37"/>
    </row>
    <row r="183" spans="1:10">
      <c r="A183" s="134"/>
      <c r="E183" s="37"/>
      <c r="F183" s="37"/>
      <c r="G183" s="37"/>
      <c r="H183" s="37"/>
      <c r="I183" s="37"/>
      <c r="J183" s="37"/>
    </row>
    <row r="184" spans="1:10">
      <c r="A184" s="134"/>
      <c r="E184" s="37"/>
      <c r="F184" s="37"/>
      <c r="G184" s="37"/>
      <c r="H184" s="37"/>
      <c r="I184" s="37"/>
      <c r="J184" s="37"/>
    </row>
    <row r="185" spans="1:10">
      <c r="A185" s="134"/>
      <c r="E185" s="37"/>
      <c r="F185" s="37"/>
      <c r="G185" s="37"/>
      <c r="H185" s="40"/>
      <c r="I185" s="37"/>
      <c r="J185" s="37"/>
    </row>
    <row r="186" spans="1:10">
      <c r="A186" s="134"/>
      <c r="E186" s="37"/>
      <c r="F186" s="37"/>
      <c r="G186" s="37"/>
      <c r="H186" s="37"/>
      <c r="I186" s="37"/>
      <c r="J186" s="37"/>
    </row>
    <row r="187" spans="1:10">
      <c r="A187" s="134"/>
      <c r="E187" s="37"/>
      <c r="F187" s="37"/>
      <c r="G187" s="37"/>
      <c r="H187" s="40"/>
      <c r="I187" s="37"/>
      <c r="J187" s="37"/>
    </row>
    <row r="188" spans="1:10">
      <c r="A188" s="134"/>
      <c r="E188" s="40"/>
      <c r="F188" s="37"/>
      <c r="G188" s="37"/>
      <c r="H188" s="37"/>
      <c r="I188" s="37"/>
      <c r="J188" s="37"/>
    </row>
    <row r="189" spans="1:10">
      <c r="A189" s="134"/>
      <c r="E189" s="40"/>
      <c r="F189" s="37"/>
      <c r="G189" s="37"/>
      <c r="H189" s="37"/>
      <c r="I189" s="37"/>
      <c r="J189" s="37"/>
    </row>
    <row r="190" spans="1:10">
      <c r="A190" s="134"/>
      <c r="E190" s="37"/>
      <c r="F190" s="37"/>
      <c r="G190" s="37"/>
      <c r="H190" s="40"/>
      <c r="I190" s="37"/>
      <c r="J190" s="37"/>
    </row>
    <row r="191" spans="1:10">
      <c r="A191" s="134"/>
      <c r="E191" s="37"/>
      <c r="F191" s="37"/>
      <c r="G191" s="37"/>
      <c r="H191" s="37"/>
      <c r="I191" s="37"/>
      <c r="J191" s="37"/>
    </row>
    <row r="192" spans="1:10">
      <c r="A192" s="134"/>
      <c r="E192" s="37"/>
      <c r="F192" s="37"/>
      <c r="G192" s="37"/>
      <c r="H192" s="37"/>
      <c r="I192" s="37"/>
      <c r="J192" s="37"/>
    </row>
    <row r="193" spans="1:10">
      <c r="A193" s="134"/>
      <c r="E193" s="37"/>
      <c r="F193" s="37"/>
      <c r="G193" s="37"/>
      <c r="H193" s="37"/>
      <c r="I193" s="37"/>
      <c r="J193" s="37"/>
    </row>
    <row r="194" spans="1:10">
      <c r="A194" s="134"/>
      <c r="E194" s="37"/>
      <c r="F194" s="37"/>
      <c r="G194" s="37"/>
      <c r="H194" s="37"/>
      <c r="I194" s="37"/>
      <c r="J194" s="37"/>
    </row>
    <row r="195" spans="1:10">
      <c r="A195" s="134"/>
      <c r="E195" s="37"/>
      <c r="F195" s="37"/>
      <c r="G195" s="37"/>
      <c r="H195" s="40"/>
      <c r="I195" s="37"/>
      <c r="J195" s="37"/>
    </row>
    <row r="196" spans="1:10">
      <c r="A196" s="134"/>
      <c r="E196" s="37"/>
      <c r="F196" s="37"/>
      <c r="G196" s="37"/>
      <c r="H196" s="37"/>
      <c r="I196" s="37"/>
      <c r="J196" s="37"/>
    </row>
    <row r="197" spans="1:10">
      <c r="A197" s="134"/>
      <c r="E197" s="37"/>
      <c r="F197" s="37"/>
      <c r="G197" s="37"/>
      <c r="H197" s="40"/>
      <c r="I197" s="37"/>
      <c r="J197" s="37"/>
    </row>
    <row r="198" spans="1:10">
      <c r="A198" s="134"/>
      <c r="E198" s="37"/>
      <c r="F198" s="37"/>
      <c r="G198" s="37"/>
      <c r="H198" s="37"/>
      <c r="I198" s="37"/>
      <c r="J198" s="37"/>
    </row>
    <row r="199" spans="1:10">
      <c r="A199" s="134"/>
      <c r="E199" s="37"/>
      <c r="F199" s="37"/>
      <c r="G199" s="37"/>
      <c r="H199" s="40"/>
      <c r="I199" s="37"/>
      <c r="J199" s="37"/>
    </row>
    <row r="200" spans="1:10">
      <c r="A200" s="134"/>
      <c r="E200" s="37"/>
      <c r="F200" s="37"/>
      <c r="G200" s="37"/>
      <c r="H200" s="37"/>
      <c r="I200" s="37"/>
      <c r="J200" s="37"/>
    </row>
    <row r="201" spans="1:10">
      <c r="A201" s="134"/>
      <c r="E201" s="37"/>
      <c r="F201" s="37"/>
      <c r="G201" s="37"/>
      <c r="H201" s="37"/>
      <c r="I201" s="37"/>
      <c r="J201" s="37"/>
    </row>
    <row r="202" spans="1:10">
      <c r="A202" s="134"/>
      <c r="E202" s="37"/>
      <c r="F202" s="37"/>
      <c r="G202" s="37"/>
      <c r="H202" s="37"/>
      <c r="I202" s="37"/>
      <c r="J202" s="37"/>
    </row>
    <row r="203" spans="1:10">
      <c r="A203" s="134"/>
      <c r="E203" s="37"/>
      <c r="F203" s="37"/>
      <c r="G203" s="37"/>
      <c r="H203" s="37"/>
      <c r="I203" s="37"/>
      <c r="J203" s="37"/>
    </row>
    <row r="204" spans="1:10">
      <c r="A204" s="134"/>
      <c r="E204" s="37"/>
      <c r="F204" s="37"/>
      <c r="G204" s="37"/>
      <c r="H204" s="40"/>
      <c r="I204" s="37"/>
      <c r="J204" s="40"/>
    </row>
    <row r="205" spans="1:10">
      <c r="A205" s="134"/>
      <c r="E205" s="37"/>
      <c r="F205" s="37"/>
      <c r="G205" s="37"/>
      <c r="H205" s="37"/>
      <c r="I205" s="37"/>
      <c r="J205" s="37"/>
    </row>
    <row r="206" spans="1:10">
      <c r="A206" s="134"/>
      <c r="E206" s="37"/>
      <c r="F206" s="37"/>
      <c r="G206" s="37"/>
      <c r="H206" s="37"/>
      <c r="I206" s="37"/>
      <c r="J206" s="37"/>
    </row>
    <row r="207" spans="1:10">
      <c r="A207" s="134"/>
      <c r="E207" s="37"/>
      <c r="F207" s="37"/>
      <c r="G207" s="37"/>
      <c r="H207" s="37"/>
      <c r="I207" s="37"/>
      <c r="J207" s="37"/>
    </row>
    <row r="208" spans="1:10">
      <c r="A208" s="134"/>
      <c r="E208" s="37"/>
      <c r="F208" s="37"/>
      <c r="G208" s="37"/>
      <c r="H208" s="40"/>
      <c r="I208" s="37"/>
      <c r="J208" s="37"/>
    </row>
    <row r="209" spans="1:10">
      <c r="A209" s="134"/>
      <c r="E209" s="40"/>
      <c r="F209" s="37"/>
      <c r="G209" s="37"/>
      <c r="H209" s="40"/>
      <c r="I209" s="37"/>
      <c r="J209" s="37"/>
    </row>
    <row r="210" spans="1:10">
      <c r="A210" s="134"/>
      <c r="E210" s="37"/>
      <c r="F210" s="37"/>
      <c r="G210" s="37"/>
      <c r="H210" s="37"/>
      <c r="I210" s="37"/>
      <c r="J210" s="37"/>
    </row>
    <row r="211" spans="1:10">
      <c r="A211" s="134"/>
      <c r="E211" s="37"/>
      <c r="F211" s="37"/>
      <c r="G211" s="37"/>
      <c r="H211" s="40"/>
      <c r="I211" s="37"/>
      <c r="J211" s="37"/>
    </row>
    <row r="212" spans="1:10">
      <c r="A212" s="134"/>
      <c r="E212" s="37"/>
      <c r="F212" s="37"/>
      <c r="G212" s="37"/>
      <c r="H212" s="37"/>
      <c r="I212" s="37"/>
      <c r="J212" s="37"/>
    </row>
    <row r="213" spans="1:10">
      <c r="A213" s="134"/>
      <c r="E213" s="37"/>
      <c r="F213" s="37"/>
      <c r="G213" s="37"/>
      <c r="H213" s="40"/>
      <c r="I213" s="37"/>
      <c r="J213" s="37"/>
    </row>
    <row r="214" spans="1:10">
      <c r="A214" s="134"/>
      <c r="E214" s="37"/>
      <c r="F214" s="37"/>
      <c r="G214" s="37"/>
      <c r="H214" s="40"/>
      <c r="I214" s="37"/>
      <c r="J214" s="37"/>
    </row>
    <row r="215" spans="1:10">
      <c r="A215" s="134"/>
      <c r="E215" s="37"/>
      <c r="F215" s="37"/>
      <c r="G215" s="37"/>
      <c r="H215" s="40"/>
      <c r="I215" s="37"/>
      <c r="J215" s="37"/>
    </row>
    <row r="216" spans="1:10">
      <c r="A216" s="134"/>
      <c r="E216" s="37"/>
      <c r="F216" s="37"/>
      <c r="G216" s="37"/>
      <c r="H216" s="40"/>
      <c r="I216" s="37"/>
      <c r="J216" s="37"/>
    </row>
    <row r="217" spans="1:10">
      <c r="A217" s="134"/>
      <c r="E217" s="37"/>
      <c r="F217" s="37"/>
      <c r="G217" s="37"/>
      <c r="H217" s="40"/>
      <c r="I217" s="37"/>
      <c r="J217" s="37"/>
    </row>
    <row r="218" spans="1:10">
      <c r="A218" s="134"/>
      <c r="E218" s="37"/>
      <c r="F218" s="37"/>
      <c r="G218" s="37"/>
      <c r="H218" s="37"/>
      <c r="I218" s="37"/>
      <c r="J218" s="37"/>
    </row>
    <row r="219" spans="1:10">
      <c r="A219" s="134"/>
      <c r="E219" s="37"/>
      <c r="F219" s="37"/>
      <c r="G219" s="37"/>
      <c r="H219" s="40"/>
      <c r="I219" s="37"/>
      <c r="J219" s="37"/>
    </row>
    <row r="220" spans="1:10">
      <c r="A220" s="134"/>
      <c r="E220" s="37"/>
      <c r="F220" s="37"/>
      <c r="G220" s="37"/>
      <c r="H220" s="40"/>
      <c r="I220" s="37"/>
      <c r="J220" s="40"/>
    </row>
    <row r="221" spans="1:10">
      <c r="A221" s="134"/>
      <c r="E221" s="37"/>
      <c r="F221" s="37"/>
      <c r="G221" s="37"/>
      <c r="H221" s="37"/>
      <c r="I221" s="37"/>
      <c r="J221" s="37"/>
    </row>
    <row r="222" spans="1:10">
      <c r="A222" s="134"/>
      <c r="E222" s="37"/>
      <c r="F222" s="37"/>
      <c r="G222" s="37"/>
      <c r="H222" s="40"/>
      <c r="I222" s="37"/>
      <c r="J222" s="37"/>
    </row>
    <row r="223" spans="1:10">
      <c r="A223" s="134"/>
      <c r="E223" s="37"/>
      <c r="F223" s="37"/>
      <c r="G223" s="37"/>
      <c r="H223" s="40"/>
      <c r="I223" s="37"/>
      <c r="J223" s="37"/>
    </row>
    <row r="224" spans="1:10">
      <c r="A224" s="134"/>
      <c r="E224" s="37"/>
      <c r="F224" s="37"/>
      <c r="G224" s="37"/>
      <c r="H224" s="40"/>
      <c r="I224" s="37"/>
      <c r="J224" s="37"/>
    </row>
    <row r="225" spans="1:10">
      <c r="A225" s="134"/>
      <c r="E225" s="37"/>
      <c r="F225" s="37"/>
      <c r="G225" s="37"/>
      <c r="H225" s="37"/>
      <c r="I225" s="37"/>
      <c r="J225" s="37"/>
    </row>
    <row r="226" spans="1:10">
      <c r="A226" s="134"/>
      <c r="E226" s="37"/>
      <c r="F226" s="37"/>
      <c r="G226" s="37"/>
      <c r="H226" s="40"/>
      <c r="I226" s="37"/>
      <c r="J226" s="37"/>
    </row>
    <row r="227" spans="1:10">
      <c r="A227" s="134"/>
      <c r="E227" s="37"/>
      <c r="F227" s="37"/>
      <c r="G227" s="37"/>
      <c r="H227" s="40"/>
      <c r="I227" s="37"/>
      <c r="J227" s="40"/>
    </row>
    <row r="228" spans="1:10">
      <c r="A228" s="134"/>
      <c r="E228" s="37"/>
      <c r="F228" s="37"/>
      <c r="G228" s="37"/>
      <c r="H228" s="40"/>
      <c r="I228" s="37"/>
      <c r="J228" s="40"/>
    </row>
    <row r="229" spans="1:10">
      <c r="A229" s="134"/>
      <c r="E229" s="37"/>
      <c r="F229" s="37"/>
      <c r="G229" s="37"/>
      <c r="H229" s="37"/>
      <c r="I229" s="37"/>
      <c r="J229" s="37"/>
    </row>
    <row r="230" spans="1:10">
      <c r="A230" s="134"/>
      <c r="E230" s="37"/>
      <c r="F230" s="37"/>
      <c r="G230" s="37"/>
      <c r="H230" s="40"/>
      <c r="I230" s="37"/>
      <c r="J230" s="37"/>
    </row>
    <row r="231" spans="1:10">
      <c r="A231" s="134"/>
      <c r="E231" s="37"/>
      <c r="F231" s="37"/>
      <c r="G231" s="37"/>
      <c r="H231" s="40"/>
      <c r="I231" s="37"/>
      <c r="J231" s="40"/>
    </row>
    <row r="232" spans="1:10">
      <c r="A232" s="134"/>
      <c r="E232" s="40"/>
      <c r="F232" s="37"/>
      <c r="G232" s="37"/>
      <c r="H232" s="37"/>
      <c r="I232" s="37"/>
      <c r="J232" s="37"/>
    </row>
    <row r="233" spans="1:10">
      <c r="A233" s="134"/>
      <c r="E233" s="37"/>
      <c r="F233" s="37"/>
      <c r="G233" s="37"/>
      <c r="H233" s="37"/>
      <c r="I233" s="37"/>
      <c r="J233" s="37"/>
    </row>
    <row r="234" spans="1:10">
      <c r="A234" s="134"/>
      <c r="E234" s="37"/>
      <c r="F234" s="37"/>
      <c r="G234" s="37"/>
      <c r="H234" s="37"/>
      <c r="I234" s="37"/>
      <c r="J234" s="37"/>
    </row>
    <row r="235" spans="1:10">
      <c r="A235" s="134"/>
      <c r="E235" s="40"/>
      <c r="F235" s="37"/>
      <c r="G235" s="37"/>
      <c r="H235" s="40"/>
      <c r="I235" s="37"/>
      <c r="J235" s="40"/>
    </row>
    <row r="236" spans="1:10">
      <c r="A236" s="134"/>
      <c r="E236" s="37"/>
      <c r="F236" s="37"/>
      <c r="G236" s="37"/>
      <c r="H236" s="37"/>
      <c r="I236" s="37"/>
      <c r="J236" s="37"/>
    </row>
    <row r="237" spans="1:10">
      <c r="A237" s="134"/>
      <c r="E237" s="37"/>
      <c r="F237" s="37"/>
      <c r="G237" s="37"/>
      <c r="H237" s="40"/>
      <c r="I237" s="37"/>
      <c r="J237" s="37"/>
    </row>
    <row r="238" spans="1:10">
      <c r="A238" s="134"/>
      <c r="E238" s="37"/>
      <c r="F238" s="37"/>
      <c r="G238" s="37"/>
      <c r="H238" s="37"/>
      <c r="I238" s="37"/>
      <c r="J238" s="37"/>
    </row>
    <row r="239" spans="1:10">
      <c r="A239" s="134"/>
      <c r="E239" s="37"/>
      <c r="F239" s="37"/>
      <c r="G239" s="37"/>
      <c r="H239" s="37"/>
      <c r="I239" s="37"/>
      <c r="J239" s="37"/>
    </row>
    <row r="240" spans="1:10">
      <c r="A240" s="134"/>
      <c r="E240" s="37"/>
      <c r="F240" s="37"/>
      <c r="G240" s="37"/>
      <c r="H240" s="37"/>
      <c r="I240" s="37"/>
      <c r="J240" s="37"/>
    </row>
    <row r="241" spans="1:10">
      <c r="A241" s="134"/>
      <c r="E241" s="37"/>
      <c r="F241" s="37"/>
      <c r="G241" s="37"/>
      <c r="H241" s="37"/>
      <c r="I241" s="37"/>
      <c r="J241" s="37"/>
    </row>
    <row r="242" spans="1:10">
      <c r="A242" s="134"/>
      <c r="E242" s="40"/>
      <c r="F242" s="37"/>
      <c r="G242" s="37"/>
      <c r="H242" s="37"/>
      <c r="I242" s="37"/>
      <c r="J242" s="37"/>
    </row>
    <row r="243" spans="1:10">
      <c r="A243" s="134"/>
      <c r="E243" s="37"/>
      <c r="F243" s="37"/>
      <c r="G243" s="37"/>
      <c r="H243" s="40"/>
      <c r="I243" s="37"/>
      <c r="J243" s="37"/>
    </row>
    <row r="244" spans="1:10">
      <c r="A244" s="134"/>
      <c r="E244" s="37"/>
      <c r="F244" s="37"/>
      <c r="G244" s="37"/>
      <c r="H244" s="37"/>
      <c r="I244" s="37"/>
      <c r="J244" s="37"/>
    </row>
    <row r="245" spans="1:10">
      <c r="A245" s="134"/>
      <c r="E245" s="37"/>
      <c r="F245" s="37"/>
      <c r="G245" s="37"/>
      <c r="H245" s="37"/>
      <c r="I245" s="37"/>
      <c r="J245" s="37"/>
    </row>
    <row r="246" spans="1:10">
      <c r="A246" s="134"/>
      <c r="E246" s="37"/>
      <c r="F246" s="37"/>
      <c r="G246" s="37"/>
      <c r="H246" s="40"/>
      <c r="I246" s="37"/>
      <c r="J246" s="37"/>
    </row>
    <row r="247" spans="1:10">
      <c r="A247" s="134"/>
      <c r="E247" s="37"/>
      <c r="F247" s="37"/>
      <c r="G247" s="37"/>
      <c r="H247" s="37"/>
      <c r="I247" s="37"/>
      <c r="J247" s="37"/>
    </row>
    <row r="248" spans="1:10">
      <c r="A248" s="134"/>
      <c r="E248" s="37"/>
      <c r="F248" s="37"/>
      <c r="G248" s="37"/>
      <c r="H248" s="37"/>
      <c r="I248" s="37"/>
      <c r="J248" s="37"/>
    </row>
    <row r="249" spans="1:10">
      <c r="A249" s="134"/>
      <c r="E249" s="37"/>
      <c r="F249" s="37"/>
      <c r="G249" s="37"/>
      <c r="H249" s="40"/>
      <c r="I249" s="37"/>
      <c r="J249" s="37"/>
    </row>
    <row r="250" spans="1:10">
      <c r="A250" s="134"/>
      <c r="E250" s="37"/>
      <c r="F250" s="37"/>
      <c r="G250" s="37"/>
      <c r="H250" s="40"/>
      <c r="I250" s="37"/>
      <c r="J250" s="37"/>
    </row>
    <row r="251" spans="1:10">
      <c r="A251" s="134"/>
      <c r="E251" s="37"/>
      <c r="F251" s="37"/>
      <c r="G251" s="37"/>
      <c r="H251" s="37"/>
      <c r="I251" s="37"/>
      <c r="J251" s="37"/>
    </row>
    <row r="252" spans="1:10">
      <c r="A252" s="134"/>
      <c r="E252" s="37"/>
      <c r="F252" s="37"/>
      <c r="G252" s="37"/>
      <c r="H252" s="37"/>
      <c r="I252" s="37"/>
      <c r="J252" s="37"/>
    </row>
    <row r="253" spans="1:10">
      <c r="A253" s="134"/>
      <c r="E253" s="37"/>
      <c r="F253" s="37"/>
      <c r="G253" s="37"/>
      <c r="H253" s="40"/>
      <c r="I253" s="37"/>
      <c r="J253" s="37"/>
    </row>
    <row r="254" spans="1:10">
      <c r="A254" s="134"/>
      <c r="E254" s="37"/>
      <c r="F254" s="37"/>
      <c r="G254" s="37"/>
      <c r="H254" s="37"/>
      <c r="I254" s="37"/>
      <c r="J254" s="37"/>
    </row>
    <row r="255" spans="1:10">
      <c r="A255" s="134"/>
      <c r="E255" s="37"/>
      <c r="F255" s="37"/>
      <c r="G255" s="37"/>
      <c r="H255" s="37"/>
      <c r="I255" s="37"/>
      <c r="J255" s="37"/>
    </row>
    <row r="256" spans="1:10">
      <c r="A256" s="134"/>
      <c r="E256" s="37"/>
      <c r="F256" s="37"/>
      <c r="G256" s="37"/>
      <c r="H256" s="37"/>
      <c r="I256" s="37"/>
      <c r="J256" s="37"/>
    </row>
    <row r="257" spans="1:10">
      <c r="A257" s="134"/>
      <c r="E257" s="37"/>
      <c r="F257" s="37"/>
      <c r="G257" s="37"/>
      <c r="H257" s="40"/>
      <c r="I257" s="37"/>
      <c r="J257" s="37"/>
    </row>
    <row r="258" spans="1:10">
      <c r="A258" s="134"/>
      <c r="E258" s="37"/>
      <c r="F258" s="37"/>
      <c r="G258" s="37"/>
      <c r="H258" s="37"/>
      <c r="I258" s="37"/>
      <c r="J258" s="37"/>
    </row>
    <row r="259" spans="1:10">
      <c r="A259" s="134"/>
      <c r="E259" s="37"/>
      <c r="F259" s="37"/>
      <c r="G259" s="37"/>
      <c r="H259" s="37"/>
      <c r="I259" s="37"/>
      <c r="J259" s="37"/>
    </row>
    <row r="260" spans="1:10">
      <c r="A260" s="134"/>
      <c r="E260" s="37"/>
      <c r="F260" s="37"/>
      <c r="G260" s="37"/>
      <c r="H260" s="37"/>
      <c r="I260" s="37"/>
      <c r="J260" s="37"/>
    </row>
    <row r="261" spans="1:10">
      <c r="A261" s="134"/>
      <c r="E261" s="40"/>
      <c r="F261" s="37"/>
      <c r="G261" s="37"/>
      <c r="H261" s="40"/>
      <c r="I261" s="37"/>
      <c r="J261" s="40"/>
    </row>
    <row r="262" spans="1:10">
      <c r="A262" s="134"/>
      <c r="E262" s="37"/>
      <c r="F262" s="37"/>
      <c r="G262" s="37"/>
      <c r="H262" s="37"/>
      <c r="I262" s="37"/>
      <c r="J262" s="37"/>
    </row>
    <row r="263" spans="1:10">
      <c r="A263" s="134"/>
      <c r="E263" s="37"/>
      <c r="F263" s="37"/>
      <c r="G263" s="37"/>
      <c r="H263" s="40"/>
      <c r="I263" s="37"/>
      <c r="J263" s="37"/>
    </row>
    <row r="264" spans="1:10">
      <c r="A264" s="134"/>
      <c r="E264" s="37"/>
      <c r="F264" s="37"/>
      <c r="G264" s="37"/>
      <c r="H264" s="37"/>
      <c r="I264" s="37"/>
      <c r="J264" s="37"/>
    </row>
    <row r="265" spans="1:10">
      <c r="A265" s="134"/>
      <c r="E265" s="37"/>
      <c r="F265" s="37"/>
      <c r="G265" s="37"/>
      <c r="H265" s="40"/>
      <c r="I265" s="37"/>
      <c r="J265" s="37"/>
    </row>
    <row r="266" spans="1:10">
      <c r="A266" s="134"/>
      <c r="E266" s="37"/>
      <c r="F266" s="37"/>
      <c r="G266" s="37"/>
      <c r="H266" s="40"/>
      <c r="I266" s="37"/>
      <c r="J266" s="37"/>
    </row>
    <row r="267" spans="1:10">
      <c r="A267" s="134"/>
      <c r="E267" s="37"/>
      <c r="F267" s="37"/>
      <c r="G267" s="37"/>
      <c r="H267" s="40"/>
      <c r="I267" s="37"/>
      <c r="J267" s="37"/>
    </row>
    <row r="268" spans="1:10">
      <c r="A268" s="134"/>
      <c r="E268" s="37"/>
      <c r="F268" s="37"/>
      <c r="G268" s="37"/>
      <c r="H268" s="40"/>
      <c r="I268" s="37"/>
      <c r="J268" s="37"/>
    </row>
    <row r="269" spans="1:10">
      <c r="A269" s="134"/>
      <c r="E269" s="37"/>
      <c r="F269" s="37"/>
      <c r="G269" s="37"/>
      <c r="H269" s="37"/>
      <c r="I269" s="37"/>
      <c r="J269" s="40"/>
    </row>
    <row r="270" spans="1:10">
      <c r="A270" s="134"/>
      <c r="E270" s="37"/>
      <c r="F270" s="37"/>
      <c r="G270" s="37"/>
      <c r="H270" s="37"/>
      <c r="I270" s="37"/>
      <c r="J270" s="37"/>
    </row>
    <row r="271" spans="1:10">
      <c r="A271" s="134"/>
      <c r="E271" s="37"/>
      <c r="F271" s="37"/>
      <c r="G271" s="37"/>
      <c r="H271" s="37"/>
      <c r="I271" s="37"/>
      <c r="J271" s="37"/>
    </row>
    <row r="272" spans="1:10">
      <c r="A272" s="134"/>
      <c r="E272" s="37"/>
      <c r="F272" s="37"/>
      <c r="G272" s="37"/>
      <c r="H272" s="40"/>
      <c r="I272" s="37"/>
      <c r="J272" s="37"/>
    </row>
    <row r="273" spans="1:10">
      <c r="A273" s="134"/>
      <c r="E273" s="37"/>
      <c r="F273" s="37"/>
      <c r="G273" s="37"/>
      <c r="H273" s="37"/>
      <c r="I273" s="37"/>
      <c r="J273" s="37"/>
    </row>
    <row r="274" spans="1:10">
      <c r="A274" s="134"/>
      <c r="E274" s="37"/>
      <c r="F274" s="37"/>
      <c r="G274" s="37"/>
      <c r="H274" s="40"/>
      <c r="I274" s="37"/>
      <c r="J274" s="37"/>
    </row>
    <row r="275" spans="1:10">
      <c r="A275" s="134"/>
      <c r="E275" s="37"/>
      <c r="F275" s="37"/>
      <c r="G275" s="37"/>
      <c r="H275" s="40"/>
      <c r="I275" s="37"/>
      <c r="J275" s="37"/>
    </row>
    <row r="276" spans="1:10">
      <c r="A276" s="134"/>
      <c r="E276" s="37"/>
      <c r="F276" s="37"/>
      <c r="G276" s="37"/>
      <c r="H276" s="37"/>
      <c r="I276" s="37"/>
      <c r="J276" s="37"/>
    </row>
    <row r="277" spans="1:10">
      <c r="A277" s="134"/>
      <c r="E277" s="37"/>
      <c r="F277" s="37"/>
      <c r="G277" s="37"/>
      <c r="H277" s="40"/>
      <c r="I277" s="37"/>
      <c r="J277" s="37"/>
    </row>
    <row r="278" spans="1:10">
      <c r="A278" s="134"/>
      <c r="E278" s="37"/>
      <c r="F278" s="37"/>
      <c r="G278" s="37"/>
      <c r="H278" s="37"/>
      <c r="I278" s="37"/>
      <c r="J278" s="37"/>
    </row>
    <row r="279" spans="1:10">
      <c r="A279" s="134"/>
      <c r="E279" s="37"/>
      <c r="F279" s="37"/>
      <c r="G279" s="37"/>
      <c r="H279" s="40"/>
      <c r="I279" s="37"/>
      <c r="J279" s="40"/>
    </row>
    <row r="280" spans="1:10">
      <c r="A280" s="134"/>
      <c r="E280" s="37"/>
      <c r="F280" s="37"/>
      <c r="G280" s="37"/>
      <c r="H280" s="37"/>
      <c r="I280" s="37"/>
      <c r="J280" s="37"/>
    </row>
    <row r="281" spans="1:10">
      <c r="A281" s="134"/>
      <c r="E281" s="37"/>
      <c r="F281" s="37"/>
      <c r="G281" s="37"/>
      <c r="H281" s="40"/>
      <c r="I281" s="37"/>
      <c r="J281" s="37"/>
    </row>
    <row r="282" spans="1:10">
      <c r="A282" s="134"/>
      <c r="E282" s="37"/>
      <c r="F282" s="37"/>
      <c r="G282" s="37"/>
      <c r="H282" s="40"/>
      <c r="I282" s="37"/>
      <c r="J282" s="37"/>
    </row>
    <row r="283" spans="1:10">
      <c r="A283" s="134"/>
      <c r="E283" s="37"/>
      <c r="F283" s="37"/>
      <c r="G283" s="37"/>
      <c r="H283" s="37"/>
      <c r="I283" s="37"/>
      <c r="J283" s="37"/>
    </row>
    <row r="284" spans="1:10">
      <c r="A284" s="134"/>
      <c r="E284" s="40"/>
      <c r="F284" s="37"/>
      <c r="G284" s="37"/>
      <c r="H284" s="37"/>
      <c r="I284" s="37"/>
      <c r="J284" s="37"/>
    </row>
    <row r="285" spans="1:10">
      <c r="A285" s="134"/>
      <c r="E285" s="37"/>
      <c r="F285" s="37"/>
      <c r="G285" s="37"/>
      <c r="H285" s="37"/>
      <c r="I285" s="37"/>
      <c r="J285" s="37"/>
    </row>
    <row r="286" spans="1:10">
      <c r="A286" s="134"/>
      <c r="E286" s="37"/>
      <c r="F286" s="37"/>
      <c r="G286" s="37"/>
      <c r="H286" s="37"/>
      <c r="I286" s="37"/>
      <c r="J286" s="37"/>
    </row>
    <row r="287" spans="1:10">
      <c r="A287" s="134"/>
      <c r="E287" s="37"/>
      <c r="F287" s="37"/>
      <c r="G287" s="37"/>
      <c r="H287" s="37"/>
      <c r="I287" s="37"/>
      <c r="J287" s="37"/>
    </row>
    <row r="288" spans="1:10">
      <c r="A288" s="134"/>
      <c r="E288" s="37"/>
      <c r="F288" s="37"/>
      <c r="G288" s="37"/>
      <c r="H288" s="37"/>
      <c r="I288" s="37"/>
      <c r="J288" s="37"/>
    </row>
    <row r="289" spans="1:10">
      <c r="A289" s="134"/>
      <c r="E289" s="37"/>
      <c r="F289" s="37"/>
      <c r="G289" s="37"/>
      <c r="H289" s="40"/>
      <c r="I289" s="37"/>
      <c r="J289" s="37"/>
    </row>
    <row r="290" spans="1:10">
      <c r="A290" s="134"/>
      <c r="E290" s="37"/>
      <c r="F290" s="37"/>
      <c r="G290" s="37"/>
      <c r="H290" s="40"/>
      <c r="I290" s="37"/>
      <c r="J290" s="37"/>
    </row>
    <row r="291" spans="1:10">
      <c r="A291" s="134"/>
      <c r="E291" s="37"/>
      <c r="F291" s="37"/>
      <c r="G291" s="37"/>
      <c r="H291" s="37"/>
      <c r="I291" s="37"/>
      <c r="J291" s="37"/>
    </row>
    <row r="292" spans="1:10">
      <c r="A292" s="134"/>
      <c r="E292" s="37"/>
      <c r="F292" s="37"/>
      <c r="G292" s="37"/>
      <c r="H292" s="37"/>
      <c r="I292" s="37"/>
      <c r="J292" s="37"/>
    </row>
    <row r="293" spans="1:10">
      <c r="A293" s="134"/>
      <c r="E293" s="37"/>
      <c r="F293" s="37"/>
      <c r="G293" s="37"/>
      <c r="H293" s="40"/>
      <c r="I293" s="37"/>
      <c r="J293" s="37"/>
    </row>
    <row r="294" spans="1:10">
      <c r="A294" s="134"/>
      <c r="E294" s="37"/>
      <c r="F294" s="37"/>
      <c r="G294" s="37"/>
      <c r="H294" s="37"/>
      <c r="I294" s="37"/>
      <c r="J294" s="37"/>
    </row>
    <row r="295" spans="1:10">
      <c r="A295" s="134"/>
      <c r="E295" s="37"/>
      <c r="F295" s="37"/>
      <c r="G295" s="37"/>
      <c r="H295" s="37"/>
      <c r="I295" s="37"/>
      <c r="J295" s="37"/>
    </row>
    <row r="296" spans="1:10">
      <c r="A296" s="134"/>
      <c r="E296" s="37"/>
      <c r="F296" s="37"/>
      <c r="G296" s="37"/>
      <c r="H296" s="37"/>
      <c r="I296" s="37"/>
      <c r="J296" s="37"/>
    </row>
    <row r="297" spans="1:10">
      <c r="A297" s="134"/>
      <c r="E297" s="37"/>
      <c r="F297" s="37"/>
      <c r="G297" s="37"/>
      <c r="H297" s="37"/>
      <c r="I297" s="37"/>
      <c r="J297" s="37"/>
    </row>
    <row r="298" spans="1:10">
      <c r="A298" s="134"/>
      <c r="E298" s="37"/>
      <c r="F298" s="37"/>
      <c r="G298" s="37"/>
      <c r="H298" s="40"/>
      <c r="I298" s="37"/>
      <c r="J298" s="37"/>
    </row>
    <row r="299" spans="1:10">
      <c r="A299" s="134"/>
      <c r="E299" s="37"/>
      <c r="F299" s="37"/>
      <c r="G299" s="37"/>
      <c r="H299" s="37"/>
      <c r="I299" s="37"/>
      <c r="J299" s="37"/>
    </row>
    <row r="300" spans="1:10">
      <c r="A300" s="134"/>
      <c r="E300" s="37"/>
      <c r="F300" s="37"/>
      <c r="G300" s="37"/>
      <c r="H300" s="37"/>
      <c r="I300" s="37"/>
      <c r="J300" s="37"/>
    </row>
    <row r="301" spans="1:10">
      <c r="A301" s="134"/>
      <c r="E301" s="37"/>
      <c r="F301" s="37"/>
      <c r="G301" s="37"/>
      <c r="H301" s="37"/>
      <c r="I301" s="37"/>
      <c r="J301" s="37"/>
    </row>
    <row r="302" spans="1:10">
      <c r="A302" s="134"/>
      <c r="E302" s="37"/>
      <c r="F302" s="37"/>
      <c r="G302" s="37"/>
      <c r="H302" s="37"/>
      <c r="I302" s="37"/>
      <c r="J302" s="37"/>
    </row>
    <row r="303" spans="1:10">
      <c r="A303" s="134"/>
      <c r="E303" s="37"/>
      <c r="F303" s="37"/>
      <c r="G303" s="37"/>
      <c r="H303" s="40"/>
      <c r="I303" s="37"/>
      <c r="J303" s="37"/>
    </row>
    <row r="304" spans="1:10">
      <c r="A304" s="134"/>
      <c r="E304" s="37"/>
      <c r="F304" s="37"/>
      <c r="G304" s="37"/>
      <c r="H304" s="40"/>
      <c r="I304" s="37"/>
      <c r="J304" s="37"/>
    </row>
    <row r="305" spans="1:10">
      <c r="A305" s="134"/>
      <c r="E305" s="37"/>
      <c r="F305" s="37"/>
      <c r="G305" s="37"/>
      <c r="H305" s="37"/>
      <c r="I305" s="37"/>
      <c r="J305" s="37"/>
    </row>
    <row r="306" spans="1:10">
      <c r="A306" s="134"/>
      <c r="E306" s="37"/>
      <c r="F306" s="37"/>
      <c r="G306" s="37"/>
      <c r="H306" s="40"/>
      <c r="I306" s="37"/>
      <c r="J306" s="37"/>
    </row>
    <row r="307" spans="1:10">
      <c r="A307" s="134"/>
      <c r="E307" s="37"/>
      <c r="F307" s="37"/>
      <c r="G307" s="37"/>
      <c r="H307" s="37"/>
      <c r="I307" s="37"/>
      <c r="J307" s="37"/>
    </row>
    <row r="308" spans="1:10">
      <c r="A308" s="134"/>
      <c r="E308" s="37"/>
      <c r="F308" s="37"/>
      <c r="G308" s="37"/>
      <c r="H308" s="37"/>
      <c r="I308" s="37"/>
      <c r="J308" s="37"/>
    </row>
    <row r="309" spans="1:10">
      <c r="A309" s="134"/>
      <c r="E309" s="37"/>
      <c r="F309" s="37"/>
      <c r="G309" s="37"/>
      <c r="H309" s="37"/>
      <c r="I309" s="37"/>
      <c r="J309" s="37"/>
    </row>
    <row r="310" spans="1:10">
      <c r="A310" s="134"/>
      <c r="E310" s="40"/>
      <c r="F310" s="37"/>
      <c r="G310" s="37"/>
      <c r="H310" s="40"/>
      <c r="I310" s="37"/>
      <c r="J310" s="40"/>
    </row>
    <row r="311" spans="1:10">
      <c r="A311" s="134"/>
      <c r="E311" s="37"/>
      <c r="F311" s="37"/>
      <c r="G311" s="37"/>
      <c r="H311" s="40"/>
      <c r="I311" s="37"/>
      <c r="J311" s="37"/>
    </row>
    <row r="312" spans="1:10">
      <c r="A312" s="134"/>
      <c r="E312" s="37"/>
      <c r="F312" s="37"/>
      <c r="G312" s="37"/>
      <c r="H312" s="40"/>
      <c r="I312" s="37"/>
      <c r="J312" s="37"/>
    </row>
    <row r="313" spans="1:10">
      <c r="A313" s="134"/>
      <c r="E313" s="37"/>
      <c r="F313" s="37"/>
      <c r="G313" s="37"/>
      <c r="H313" s="37"/>
      <c r="I313" s="37"/>
      <c r="J313" s="37"/>
    </row>
    <row r="314" spans="1:10">
      <c r="A314" s="134"/>
      <c r="E314" s="37"/>
      <c r="F314" s="37"/>
      <c r="G314" s="37"/>
      <c r="H314" s="40"/>
      <c r="I314" s="37"/>
      <c r="J314" s="37"/>
    </row>
    <row r="315" spans="1:10">
      <c r="A315" s="134"/>
      <c r="E315" s="37"/>
      <c r="F315" s="37"/>
      <c r="G315" s="37"/>
      <c r="H315" s="40"/>
      <c r="I315" s="37"/>
      <c r="J315" s="37"/>
    </row>
    <row r="316" spans="1:10">
      <c r="A316" s="134"/>
      <c r="E316" s="37"/>
      <c r="F316" s="37"/>
      <c r="G316" s="37"/>
      <c r="H316" s="40"/>
      <c r="I316" s="37"/>
      <c r="J316" s="37"/>
    </row>
    <row r="317" spans="1:10">
      <c r="A317" s="134"/>
      <c r="E317" s="37"/>
      <c r="F317" s="37"/>
      <c r="G317" s="37"/>
      <c r="H317" s="37"/>
      <c r="I317" s="37"/>
      <c r="J317" s="37"/>
    </row>
    <row r="318" spans="1:10">
      <c r="A318" s="134"/>
      <c r="E318" s="37"/>
      <c r="F318" s="37"/>
      <c r="G318" s="37"/>
      <c r="H318" s="40"/>
      <c r="I318" s="37"/>
      <c r="J318" s="37"/>
    </row>
    <row r="319" spans="1:10">
      <c r="A319" s="134"/>
      <c r="E319" s="37"/>
      <c r="F319" s="37"/>
      <c r="G319" s="37"/>
      <c r="H319" s="40"/>
      <c r="I319" s="37"/>
      <c r="J319" s="37"/>
    </row>
    <row r="320" spans="1:10">
      <c r="A320" s="134"/>
      <c r="E320" s="37"/>
      <c r="F320" s="37"/>
      <c r="G320" s="37"/>
      <c r="H320" s="37"/>
      <c r="I320" s="37"/>
      <c r="J320" s="37"/>
    </row>
    <row r="321" spans="1:10">
      <c r="A321" s="134"/>
      <c r="E321" s="37"/>
      <c r="F321" s="37"/>
      <c r="G321" s="37"/>
      <c r="H321" s="40"/>
      <c r="I321" s="37"/>
      <c r="J321" s="40"/>
    </row>
    <row r="322" spans="1:10">
      <c r="A322" s="134"/>
      <c r="E322" s="37"/>
      <c r="F322" s="37"/>
      <c r="G322" s="37"/>
      <c r="H322" s="37"/>
      <c r="I322" s="37"/>
      <c r="J322" s="37"/>
    </row>
    <row r="323" spans="1:10">
      <c r="A323" s="134"/>
      <c r="E323" s="37"/>
      <c r="F323" s="37"/>
      <c r="G323" s="37"/>
      <c r="H323" s="40"/>
      <c r="I323" s="37"/>
      <c r="J323" s="37"/>
    </row>
    <row r="324" spans="1:10">
      <c r="A324" s="134"/>
      <c r="E324" s="37"/>
      <c r="F324" s="37"/>
      <c r="G324" s="37"/>
      <c r="H324" s="40"/>
      <c r="I324" s="37"/>
      <c r="J324" s="37"/>
    </row>
    <row r="325" spans="1:10">
      <c r="A325" s="134"/>
      <c r="E325" s="37"/>
      <c r="F325" s="37"/>
      <c r="G325" s="37"/>
      <c r="H325" s="40"/>
      <c r="I325" s="37"/>
      <c r="J325" s="37"/>
    </row>
    <row r="326" spans="1:10">
      <c r="A326" s="134"/>
      <c r="E326" s="37"/>
      <c r="F326" s="37"/>
      <c r="G326" s="37"/>
      <c r="H326" s="40"/>
      <c r="I326" s="37"/>
      <c r="J326" s="37"/>
    </row>
    <row r="327" spans="1:10">
      <c r="A327" s="134"/>
      <c r="E327" s="37"/>
      <c r="F327" s="37"/>
      <c r="G327" s="37"/>
      <c r="H327" s="40"/>
      <c r="I327" s="37"/>
      <c r="J327" s="37"/>
    </row>
    <row r="328" spans="1:10">
      <c r="A328" s="134"/>
      <c r="E328" s="37"/>
      <c r="F328" s="37"/>
      <c r="G328" s="37"/>
      <c r="H328" s="40"/>
      <c r="I328" s="37"/>
      <c r="J328" s="40"/>
    </row>
    <row r="329" spans="1:10">
      <c r="A329" s="134"/>
      <c r="E329" s="37"/>
      <c r="F329" s="37"/>
      <c r="G329" s="37"/>
      <c r="H329" s="37"/>
      <c r="I329" s="37"/>
      <c r="J329" s="37"/>
    </row>
    <row r="330" spans="1:10">
      <c r="A330" s="134"/>
      <c r="E330" s="37"/>
      <c r="F330" s="37"/>
      <c r="G330" s="37"/>
      <c r="H330" s="40"/>
      <c r="I330" s="37"/>
      <c r="J330" s="37"/>
    </row>
    <row r="331" spans="1:10">
      <c r="A331" s="134"/>
      <c r="E331" s="37"/>
      <c r="F331" s="37"/>
      <c r="G331" s="37"/>
      <c r="H331" s="40"/>
      <c r="I331" s="37"/>
      <c r="J331" s="37"/>
    </row>
    <row r="332" spans="1:10">
      <c r="A332" s="134"/>
      <c r="E332" s="37"/>
      <c r="F332" s="37"/>
      <c r="G332" s="37"/>
      <c r="H332" s="40"/>
      <c r="I332" s="37"/>
      <c r="J332" s="37"/>
    </row>
    <row r="333" spans="1:10">
      <c r="A333" s="134"/>
      <c r="E333" s="40"/>
      <c r="F333" s="37"/>
      <c r="G333" s="37"/>
      <c r="H333" s="37"/>
      <c r="I333" s="37"/>
      <c r="J333" s="37"/>
    </row>
    <row r="334" spans="1:10">
      <c r="A334" s="134"/>
      <c r="E334" s="37"/>
      <c r="F334" s="37"/>
      <c r="G334" s="37"/>
      <c r="H334" s="37"/>
      <c r="I334" s="37"/>
      <c r="J334" s="37"/>
    </row>
    <row r="335" spans="1:10">
      <c r="A335" s="134"/>
      <c r="E335" s="37"/>
      <c r="F335" s="37"/>
      <c r="G335" s="37"/>
      <c r="H335" s="37"/>
      <c r="I335" s="37"/>
      <c r="J335" s="37"/>
    </row>
    <row r="336" spans="1:10">
      <c r="A336" s="134"/>
      <c r="E336" s="37"/>
      <c r="F336" s="37"/>
      <c r="G336" s="37"/>
      <c r="H336" s="40"/>
      <c r="I336" s="37"/>
      <c r="J336" s="37"/>
    </row>
    <row r="337" spans="1:10">
      <c r="A337" s="134"/>
      <c r="E337" s="37"/>
      <c r="F337" s="37"/>
      <c r="G337" s="37"/>
      <c r="H337" s="40"/>
      <c r="I337" s="37"/>
      <c r="J337" s="37"/>
    </row>
    <row r="338" spans="1:10">
      <c r="A338" s="134"/>
      <c r="E338" s="37"/>
      <c r="F338" s="37"/>
      <c r="G338" s="37"/>
      <c r="H338" s="40"/>
      <c r="I338" s="37"/>
      <c r="J338" s="37"/>
    </row>
    <row r="339" spans="1:10">
      <c r="A339" s="134"/>
      <c r="E339" s="37"/>
      <c r="F339" s="37"/>
      <c r="G339" s="37"/>
      <c r="H339" s="37"/>
      <c r="I339" s="37"/>
      <c r="J339" s="37"/>
    </row>
    <row r="340" spans="1:10">
      <c r="A340" s="134"/>
      <c r="E340" s="37"/>
      <c r="F340" s="37"/>
      <c r="G340" s="37"/>
      <c r="H340" s="37"/>
      <c r="I340" s="37"/>
      <c r="J340" s="37"/>
    </row>
    <row r="341" spans="1:10">
      <c r="A341" s="134"/>
      <c r="E341" s="37"/>
      <c r="F341" s="37"/>
      <c r="G341" s="37"/>
      <c r="H341" s="37"/>
      <c r="I341" s="37"/>
      <c r="J341" s="37"/>
    </row>
    <row r="342" spans="1:10">
      <c r="A342" s="134"/>
      <c r="E342" s="37"/>
      <c r="F342" s="37"/>
      <c r="G342" s="37"/>
      <c r="H342" s="37"/>
      <c r="I342" s="37"/>
      <c r="J342" s="37"/>
    </row>
    <row r="343" spans="1:10">
      <c r="A343" s="134"/>
      <c r="E343" s="37"/>
      <c r="F343" s="37"/>
      <c r="G343" s="37"/>
      <c r="H343" s="37"/>
      <c r="I343" s="37"/>
      <c r="J343" s="37"/>
    </row>
    <row r="344" spans="1:10">
      <c r="A344" s="134"/>
      <c r="E344" s="37"/>
      <c r="F344" s="37"/>
      <c r="G344" s="37"/>
      <c r="H344" s="37"/>
      <c r="I344" s="37"/>
      <c r="J344" s="37"/>
    </row>
    <row r="345" spans="1:10">
      <c r="A345" s="134"/>
      <c r="E345" s="37"/>
      <c r="F345" s="37"/>
      <c r="G345" s="37"/>
      <c r="H345" s="37"/>
      <c r="I345" s="37"/>
      <c r="J345" s="37"/>
    </row>
    <row r="346" spans="1:10">
      <c r="A346" s="134"/>
      <c r="E346" s="37"/>
      <c r="F346" s="37"/>
      <c r="G346" s="37"/>
      <c r="H346" s="37"/>
      <c r="I346" s="37"/>
      <c r="J346" s="37"/>
    </row>
    <row r="347" spans="1:10">
      <c r="A347" s="134"/>
      <c r="E347" s="37"/>
      <c r="F347" s="37"/>
      <c r="G347" s="37"/>
      <c r="H347" s="37"/>
      <c r="I347" s="37"/>
      <c r="J347" s="37"/>
    </row>
    <row r="348" spans="1:10">
      <c r="A348" s="134"/>
      <c r="E348" s="37"/>
      <c r="F348" s="37"/>
      <c r="G348" s="37"/>
      <c r="H348" s="37"/>
      <c r="I348" s="37"/>
      <c r="J348" s="37"/>
    </row>
    <row r="349" spans="1:10">
      <c r="A349" s="134"/>
      <c r="E349" s="37"/>
      <c r="F349" s="37"/>
      <c r="G349" s="37"/>
      <c r="H349" s="40"/>
      <c r="I349" s="37"/>
      <c r="J349" s="37"/>
    </row>
    <row r="350" spans="1:10">
      <c r="A350" s="134"/>
      <c r="E350" s="37"/>
      <c r="F350" s="37"/>
      <c r="G350" s="37"/>
      <c r="H350" s="37"/>
      <c r="I350" s="37"/>
      <c r="J350" s="37"/>
    </row>
    <row r="351" spans="1:10">
      <c r="A351" s="134"/>
      <c r="E351" s="37"/>
      <c r="F351" s="37"/>
      <c r="G351" s="37"/>
      <c r="H351" s="37"/>
      <c r="I351" s="37"/>
      <c r="J351" s="37"/>
    </row>
    <row r="352" spans="1:10">
      <c r="A352" s="134"/>
      <c r="E352" s="37"/>
      <c r="F352" s="37"/>
      <c r="G352" s="37"/>
      <c r="H352" s="37"/>
      <c r="I352" s="37"/>
      <c r="J352" s="40"/>
    </row>
    <row r="353" spans="1:10">
      <c r="A353" s="134"/>
      <c r="E353" s="37"/>
      <c r="F353" s="37"/>
      <c r="G353" s="37"/>
      <c r="H353" s="37"/>
      <c r="I353" s="37"/>
      <c r="J353" s="37"/>
    </row>
    <row r="354" spans="1:10">
      <c r="A354" s="134"/>
      <c r="E354" s="37"/>
      <c r="F354" s="37"/>
      <c r="G354" s="37"/>
      <c r="H354" s="37"/>
      <c r="I354" s="37"/>
      <c r="J354" s="37"/>
    </row>
    <row r="355" spans="1:10">
      <c r="A355" s="134"/>
      <c r="E355" s="37"/>
      <c r="F355" s="37"/>
      <c r="G355" s="37"/>
      <c r="H355" s="37"/>
      <c r="I355" s="37"/>
      <c r="J355" s="37"/>
    </row>
    <row r="356" spans="1:10">
      <c r="A356" s="134"/>
      <c r="E356" s="37"/>
      <c r="F356" s="37"/>
      <c r="G356" s="37"/>
      <c r="H356" s="37"/>
      <c r="I356" s="37"/>
      <c r="J356" s="37"/>
    </row>
    <row r="357" spans="1:10">
      <c r="A357" s="134"/>
      <c r="E357" s="37"/>
      <c r="F357" s="37"/>
      <c r="G357" s="37"/>
      <c r="H357" s="37"/>
      <c r="I357" s="37"/>
      <c r="J357" s="37"/>
    </row>
    <row r="358" spans="1:10">
      <c r="A358" s="134"/>
      <c r="E358" s="37"/>
      <c r="F358" s="37"/>
      <c r="G358" s="37"/>
      <c r="H358" s="40"/>
      <c r="I358" s="37"/>
      <c r="J358" s="37"/>
    </row>
    <row r="359" spans="1:10">
      <c r="A359" s="134"/>
      <c r="E359" s="37"/>
      <c r="F359" s="37"/>
      <c r="G359" s="37"/>
      <c r="H359" s="37"/>
      <c r="I359" s="37"/>
      <c r="J359" s="37"/>
    </row>
    <row r="360" spans="1:10">
      <c r="A360" s="134"/>
      <c r="E360" s="37"/>
      <c r="F360" s="37"/>
      <c r="G360" s="37"/>
      <c r="H360" s="40"/>
      <c r="I360" s="37"/>
      <c r="J360" s="37"/>
    </row>
    <row r="361" spans="1:10">
      <c r="A361" s="134"/>
      <c r="E361" s="37"/>
      <c r="F361" s="37"/>
      <c r="G361" s="37"/>
      <c r="H361" s="40"/>
      <c r="I361" s="37"/>
      <c r="J361" s="37"/>
    </row>
    <row r="362" spans="1:10">
      <c r="A362" s="134"/>
      <c r="E362" s="37"/>
      <c r="F362" s="37"/>
      <c r="G362" s="37"/>
      <c r="H362" s="40"/>
      <c r="I362" s="37"/>
      <c r="J362" s="37"/>
    </row>
    <row r="363" spans="1:10">
      <c r="A363" s="134"/>
      <c r="E363" s="37"/>
      <c r="F363" s="37"/>
      <c r="G363" s="37"/>
      <c r="H363" s="40"/>
      <c r="I363" s="37"/>
      <c r="J363" s="37"/>
    </row>
    <row r="364" spans="1:10">
      <c r="A364" s="134"/>
      <c r="E364" s="37"/>
      <c r="F364" s="37"/>
      <c r="G364" s="37"/>
      <c r="H364" s="37"/>
      <c r="I364" s="37"/>
      <c r="J364" s="37"/>
    </row>
    <row r="365" spans="1:10">
      <c r="A365" s="134"/>
      <c r="E365" s="37"/>
      <c r="F365" s="37"/>
      <c r="G365" s="37"/>
      <c r="H365" s="40"/>
      <c r="I365" s="37"/>
      <c r="J365" s="37"/>
    </row>
    <row r="366" spans="1:10">
      <c r="A366" s="134"/>
      <c r="E366" s="37"/>
      <c r="F366" s="37"/>
      <c r="G366" s="37"/>
      <c r="H366" s="40"/>
      <c r="I366" s="37"/>
      <c r="J366" s="40"/>
    </row>
    <row r="367" spans="1:10">
      <c r="A367" s="134"/>
      <c r="E367" s="37"/>
      <c r="F367" s="37"/>
      <c r="G367" s="37"/>
      <c r="H367" s="37"/>
      <c r="I367" s="37"/>
      <c r="J367" s="37"/>
    </row>
    <row r="368" spans="1:10">
      <c r="A368" s="134"/>
      <c r="E368" s="37"/>
      <c r="F368" s="37"/>
      <c r="G368" s="37"/>
      <c r="H368" s="40"/>
      <c r="I368" s="37"/>
      <c r="J368" s="40"/>
    </row>
    <row r="369" spans="1:10">
      <c r="A369" s="134"/>
      <c r="E369" s="37"/>
      <c r="F369" s="37"/>
      <c r="G369" s="37"/>
      <c r="H369" s="40"/>
      <c r="I369" s="37"/>
      <c r="J369" s="40"/>
    </row>
    <row r="370" spans="1:10">
      <c r="A370" s="134"/>
      <c r="E370" s="37"/>
      <c r="F370" s="37"/>
      <c r="G370" s="37"/>
      <c r="H370" s="37"/>
      <c r="I370" s="37"/>
      <c r="J370" s="37"/>
    </row>
    <row r="371" spans="1:10">
      <c r="A371" s="134"/>
      <c r="E371" s="37"/>
      <c r="F371" s="37"/>
      <c r="G371" s="37"/>
      <c r="H371" s="40"/>
      <c r="I371" s="37"/>
      <c r="J371" s="37"/>
    </row>
    <row r="372" spans="1:10">
      <c r="A372" s="134"/>
      <c r="E372" s="37"/>
      <c r="F372" s="37"/>
      <c r="G372" s="37"/>
      <c r="H372" s="40"/>
      <c r="I372" s="37"/>
      <c r="J372" s="37"/>
    </row>
    <row r="373" spans="1:10">
      <c r="A373" s="134"/>
      <c r="E373" s="37"/>
      <c r="F373" s="37"/>
      <c r="G373" s="37"/>
      <c r="H373" s="40"/>
      <c r="I373" s="37"/>
      <c r="J373" s="37"/>
    </row>
    <row r="374" spans="1:10">
      <c r="A374" s="134"/>
      <c r="E374" s="37"/>
      <c r="F374" s="37"/>
      <c r="G374" s="37"/>
      <c r="H374" s="40"/>
      <c r="I374" s="37"/>
      <c r="J374" s="37"/>
    </row>
    <row r="375" spans="1:10">
      <c r="A375" s="134"/>
      <c r="E375" s="37"/>
      <c r="F375" s="37"/>
      <c r="G375" s="37"/>
      <c r="H375" s="40"/>
      <c r="I375" s="37"/>
      <c r="J375" s="37"/>
    </row>
    <row r="376" spans="1:10">
      <c r="A376" s="134"/>
      <c r="E376" s="37"/>
      <c r="F376" s="37"/>
      <c r="G376" s="37"/>
      <c r="H376" s="40"/>
      <c r="I376" s="37"/>
      <c r="J376" s="40"/>
    </row>
    <row r="377" spans="1:10">
      <c r="A377" s="134"/>
      <c r="E377" s="37"/>
      <c r="F377" s="37"/>
      <c r="G377" s="37"/>
      <c r="H377" s="37"/>
      <c r="I377" s="37"/>
      <c r="J377" s="37"/>
    </row>
    <row r="378" spans="1:10">
      <c r="A378" s="134"/>
      <c r="E378" s="37"/>
      <c r="F378" s="37"/>
      <c r="G378" s="37"/>
      <c r="H378" s="37"/>
      <c r="I378" s="37"/>
      <c r="J378" s="37"/>
    </row>
    <row r="379" spans="1:10">
      <c r="A379" s="134"/>
      <c r="E379" s="37"/>
      <c r="F379" s="37"/>
      <c r="G379" s="37"/>
      <c r="H379" s="40"/>
      <c r="I379" s="37"/>
      <c r="J379" s="37"/>
    </row>
    <row r="380" spans="1:10">
      <c r="A380" s="134"/>
      <c r="E380" s="37"/>
      <c r="F380" s="37"/>
      <c r="G380" s="37"/>
      <c r="H380" s="40"/>
      <c r="I380" s="37"/>
      <c r="J380" s="40"/>
    </row>
    <row r="381" spans="1:10">
      <c r="A381" s="134"/>
      <c r="E381" s="40"/>
      <c r="F381" s="37"/>
      <c r="G381" s="37"/>
      <c r="H381" s="37"/>
      <c r="I381" s="37"/>
      <c r="J381" s="37"/>
    </row>
    <row r="382" spans="1:10">
      <c r="A382" s="134"/>
      <c r="E382" s="37"/>
      <c r="F382" s="37"/>
      <c r="G382" s="37"/>
      <c r="H382" s="37"/>
      <c r="I382" s="37"/>
      <c r="J382" s="37"/>
    </row>
    <row r="383" spans="1:10">
      <c r="A383" s="134"/>
      <c r="E383" s="37"/>
      <c r="F383" s="37"/>
      <c r="G383" s="37"/>
      <c r="H383" s="37"/>
      <c r="I383" s="37"/>
      <c r="J383" s="37"/>
    </row>
    <row r="384" spans="1:10">
      <c r="A384" s="134"/>
      <c r="E384" s="40"/>
      <c r="F384" s="37"/>
      <c r="G384" s="37"/>
      <c r="H384" s="40"/>
      <c r="I384" s="37"/>
      <c r="J384" s="37"/>
    </row>
    <row r="385" spans="1:10">
      <c r="A385" s="134"/>
      <c r="E385" s="37"/>
      <c r="F385" s="37"/>
      <c r="G385" s="37"/>
      <c r="H385" s="37"/>
      <c r="I385" s="37"/>
      <c r="J385" s="37"/>
    </row>
    <row r="386" spans="1:10">
      <c r="A386" s="134"/>
      <c r="E386" s="37"/>
      <c r="F386" s="37"/>
      <c r="G386" s="37"/>
      <c r="H386" s="40"/>
      <c r="I386" s="37"/>
      <c r="J386" s="37"/>
    </row>
    <row r="387" spans="1:10">
      <c r="A387" s="134"/>
      <c r="E387" s="37"/>
      <c r="F387" s="37"/>
      <c r="G387" s="37"/>
      <c r="H387" s="37"/>
      <c r="I387" s="37"/>
      <c r="J387" s="37"/>
    </row>
    <row r="388" spans="1:10">
      <c r="A388" s="134"/>
      <c r="E388" s="37"/>
      <c r="F388" s="37"/>
      <c r="G388" s="37"/>
      <c r="H388" s="37"/>
      <c r="I388" s="37"/>
      <c r="J388" s="37"/>
    </row>
    <row r="389" spans="1:10">
      <c r="A389" s="134"/>
      <c r="E389" s="37"/>
      <c r="F389" s="37"/>
      <c r="G389" s="37"/>
      <c r="H389" s="37"/>
      <c r="I389" s="37"/>
      <c r="J389" s="37"/>
    </row>
    <row r="390" spans="1:10">
      <c r="A390" s="134"/>
      <c r="E390" s="40"/>
      <c r="F390" s="37"/>
      <c r="G390" s="37"/>
      <c r="H390" s="37"/>
      <c r="I390" s="37"/>
      <c r="J390" s="37"/>
    </row>
    <row r="391" spans="1:10">
      <c r="A391" s="134"/>
      <c r="E391" s="40"/>
      <c r="F391" s="37"/>
      <c r="G391" s="37"/>
      <c r="H391" s="37"/>
      <c r="I391" s="37"/>
      <c r="J391" s="37"/>
    </row>
    <row r="392" spans="1:10">
      <c r="A392" s="134"/>
      <c r="E392" s="37"/>
      <c r="F392" s="37"/>
      <c r="G392" s="37"/>
      <c r="H392" s="40"/>
      <c r="I392" s="37"/>
      <c r="J392" s="37"/>
    </row>
    <row r="393" spans="1:10">
      <c r="A393" s="134"/>
      <c r="E393" s="37"/>
      <c r="F393" s="37"/>
      <c r="G393" s="37"/>
      <c r="H393" s="37"/>
      <c r="I393" s="37"/>
      <c r="J393" s="37"/>
    </row>
    <row r="394" spans="1:10">
      <c r="A394" s="134"/>
      <c r="E394" s="37"/>
      <c r="F394" s="37"/>
      <c r="G394" s="37"/>
      <c r="H394" s="37"/>
      <c r="I394" s="37"/>
      <c r="J394" s="37"/>
    </row>
    <row r="395" spans="1:10">
      <c r="A395" s="134"/>
      <c r="E395" s="37"/>
      <c r="F395" s="37"/>
      <c r="G395" s="37"/>
      <c r="H395" s="37"/>
      <c r="I395" s="37"/>
      <c r="J395" s="37"/>
    </row>
    <row r="396" spans="1:10">
      <c r="A396" s="134"/>
      <c r="E396" s="37"/>
      <c r="F396" s="37"/>
      <c r="G396" s="37"/>
      <c r="H396" s="37"/>
      <c r="I396" s="37"/>
      <c r="J396" s="37"/>
    </row>
    <row r="397" spans="1:10">
      <c r="A397" s="134"/>
      <c r="E397" s="37"/>
      <c r="F397" s="37"/>
      <c r="G397" s="37"/>
      <c r="H397" s="40"/>
      <c r="I397" s="37"/>
      <c r="J397" s="37"/>
    </row>
    <row r="398" spans="1:10">
      <c r="A398" s="134"/>
      <c r="E398" s="37"/>
      <c r="F398" s="37"/>
      <c r="G398" s="37"/>
      <c r="H398" s="37"/>
      <c r="I398" s="37"/>
      <c r="J398" s="37"/>
    </row>
    <row r="399" spans="1:10">
      <c r="A399" s="134"/>
      <c r="E399" s="37"/>
      <c r="F399" s="37"/>
      <c r="G399" s="37"/>
      <c r="H399" s="40"/>
      <c r="I399" s="37"/>
      <c r="J399" s="37"/>
    </row>
    <row r="400" spans="1:10">
      <c r="A400" s="134"/>
      <c r="E400" s="37"/>
      <c r="F400" s="37"/>
      <c r="G400" s="37"/>
      <c r="H400" s="37"/>
      <c r="I400" s="37"/>
      <c r="J400" s="37"/>
    </row>
    <row r="401" spans="1:10">
      <c r="A401" s="134"/>
      <c r="E401" s="37"/>
      <c r="F401" s="37"/>
      <c r="G401" s="37"/>
      <c r="H401" s="40"/>
      <c r="I401" s="37"/>
      <c r="J401" s="37"/>
    </row>
    <row r="402" spans="1:10">
      <c r="A402" s="134"/>
      <c r="E402" s="37"/>
      <c r="F402" s="37"/>
      <c r="G402" s="37"/>
      <c r="H402" s="37"/>
      <c r="I402" s="37"/>
      <c r="J402" s="37"/>
    </row>
    <row r="403" spans="1:10">
      <c r="A403" s="134"/>
      <c r="E403" s="37"/>
      <c r="F403" s="37"/>
      <c r="G403" s="37"/>
      <c r="H403" s="37"/>
      <c r="I403" s="37"/>
      <c r="J403" s="37"/>
    </row>
    <row r="404" spans="1:10">
      <c r="A404" s="134"/>
      <c r="E404" s="37"/>
      <c r="F404" s="37"/>
      <c r="G404" s="37"/>
      <c r="H404" s="37"/>
      <c r="I404" s="37"/>
      <c r="J404" s="37"/>
    </row>
    <row r="405" spans="1:10">
      <c r="A405" s="134"/>
      <c r="E405" s="37"/>
      <c r="F405" s="37"/>
      <c r="G405" s="37"/>
      <c r="H405" s="37"/>
      <c r="I405" s="37"/>
      <c r="J405" s="37"/>
    </row>
    <row r="406" spans="1:10">
      <c r="A406" s="134"/>
      <c r="E406" s="37"/>
      <c r="F406" s="37"/>
      <c r="G406" s="37"/>
      <c r="H406" s="37"/>
      <c r="I406" s="37"/>
      <c r="J406" s="37"/>
    </row>
    <row r="407" spans="1:10">
      <c r="A407" s="134"/>
      <c r="E407" s="37"/>
      <c r="F407" s="37"/>
      <c r="G407" s="37"/>
      <c r="H407" s="37"/>
      <c r="I407" s="37"/>
      <c r="J407" s="37"/>
    </row>
    <row r="408" spans="1:10">
      <c r="A408" s="134"/>
      <c r="E408" s="37"/>
      <c r="F408" s="37"/>
      <c r="G408" s="37"/>
      <c r="H408" s="37"/>
      <c r="I408" s="37"/>
      <c r="J408" s="37"/>
    </row>
    <row r="409" spans="1:10">
      <c r="A409" s="134"/>
      <c r="E409" s="37"/>
      <c r="F409" s="37"/>
      <c r="G409" s="37"/>
      <c r="H409" s="37"/>
      <c r="I409" s="37"/>
      <c r="J409" s="37"/>
    </row>
    <row r="410" spans="1:10">
      <c r="A410" s="134"/>
      <c r="E410" s="40"/>
      <c r="F410" s="37"/>
      <c r="G410" s="37"/>
      <c r="H410" s="40"/>
      <c r="I410" s="37"/>
      <c r="J410" s="40"/>
    </row>
    <row r="411" spans="1:10">
      <c r="A411" s="134"/>
      <c r="E411" s="37"/>
      <c r="F411" s="37"/>
      <c r="G411" s="37"/>
      <c r="H411" s="37"/>
      <c r="I411" s="37"/>
      <c r="J411" s="37"/>
    </row>
    <row r="412" spans="1:10">
      <c r="A412" s="134"/>
      <c r="E412" s="40"/>
      <c r="F412" s="37"/>
      <c r="G412" s="37"/>
      <c r="H412" s="40"/>
      <c r="I412" s="37"/>
      <c r="J412" s="37"/>
    </row>
    <row r="413" spans="1:10">
      <c r="A413" s="134"/>
      <c r="E413" s="37"/>
      <c r="F413" s="37"/>
      <c r="G413" s="37"/>
      <c r="H413" s="40"/>
      <c r="I413" s="37"/>
      <c r="J413" s="37"/>
    </row>
    <row r="414" spans="1:10">
      <c r="A414" s="134"/>
      <c r="E414" s="37"/>
      <c r="F414" s="37"/>
      <c r="G414" s="37"/>
      <c r="H414" s="40"/>
      <c r="I414" s="37"/>
      <c r="J414" s="37"/>
    </row>
    <row r="415" spans="1:10">
      <c r="A415" s="134"/>
      <c r="E415" s="37"/>
      <c r="F415" s="37"/>
      <c r="G415" s="37"/>
      <c r="H415" s="40"/>
      <c r="I415" s="37"/>
      <c r="J415" s="37"/>
    </row>
    <row r="416" spans="1:10">
      <c r="A416" s="134"/>
      <c r="E416" s="40"/>
      <c r="F416" s="37"/>
      <c r="G416" s="37"/>
      <c r="H416" s="37"/>
      <c r="I416" s="37"/>
      <c r="J416" s="37"/>
    </row>
    <row r="417" spans="1:10">
      <c r="A417" s="134"/>
      <c r="E417" s="37"/>
      <c r="F417" s="37"/>
      <c r="G417" s="37"/>
      <c r="H417" s="40"/>
      <c r="I417" s="37"/>
      <c r="J417" s="37"/>
    </row>
    <row r="418" spans="1:10">
      <c r="A418" s="134"/>
      <c r="E418" s="37"/>
      <c r="F418" s="37"/>
      <c r="G418" s="37"/>
      <c r="H418" s="40"/>
      <c r="I418" s="37"/>
      <c r="J418" s="40"/>
    </row>
    <row r="419" spans="1:10">
      <c r="A419" s="134"/>
      <c r="E419" s="37"/>
      <c r="F419" s="37"/>
      <c r="G419" s="37"/>
      <c r="H419" s="40"/>
      <c r="I419" s="37"/>
      <c r="J419" s="37"/>
    </row>
    <row r="420" spans="1:10">
      <c r="A420" s="134"/>
      <c r="E420" s="37"/>
      <c r="F420" s="37"/>
      <c r="G420" s="37"/>
      <c r="H420" s="37"/>
      <c r="I420" s="37"/>
      <c r="J420" s="37"/>
    </row>
    <row r="421" spans="1:10">
      <c r="A421" s="134"/>
      <c r="E421" s="37"/>
      <c r="F421" s="37"/>
      <c r="G421" s="37"/>
      <c r="H421" s="37"/>
      <c r="I421" s="37"/>
      <c r="J421" s="40"/>
    </row>
    <row r="422" spans="1:10">
      <c r="A422" s="134"/>
      <c r="E422" s="37"/>
      <c r="F422" s="37"/>
      <c r="G422" s="37"/>
      <c r="H422" s="37"/>
      <c r="I422" s="37"/>
      <c r="J422" s="37"/>
    </row>
    <row r="423" spans="1:10">
      <c r="A423" s="134"/>
      <c r="E423" s="37"/>
      <c r="F423" s="37"/>
      <c r="G423" s="37"/>
      <c r="H423" s="40"/>
      <c r="I423" s="37"/>
      <c r="J423" s="37"/>
    </row>
    <row r="424" spans="1:10">
      <c r="A424" s="134"/>
      <c r="E424" s="37"/>
      <c r="F424" s="37"/>
      <c r="G424" s="37"/>
      <c r="H424" s="40"/>
      <c r="I424" s="37"/>
      <c r="J424" s="37"/>
    </row>
    <row r="425" spans="1:10">
      <c r="A425" s="134"/>
      <c r="E425" s="37"/>
      <c r="F425" s="37"/>
      <c r="G425" s="37"/>
      <c r="H425" s="40"/>
      <c r="I425" s="37"/>
      <c r="J425" s="37"/>
    </row>
    <row r="426" spans="1:10">
      <c r="A426" s="134"/>
      <c r="E426" s="37"/>
      <c r="F426" s="37"/>
      <c r="G426" s="37"/>
      <c r="H426" s="40"/>
      <c r="I426" s="37"/>
      <c r="J426" s="37"/>
    </row>
    <row r="427" spans="1:10">
      <c r="A427" s="134"/>
      <c r="E427" s="37"/>
      <c r="F427" s="37"/>
      <c r="G427" s="37"/>
      <c r="H427" s="40"/>
      <c r="I427" s="37"/>
      <c r="J427" s="37"/>
    </row>
    <row r="428" spans="1:10">
      <c r="A428" s="134"/>
      <c r="E428" s="37"/>
      <c r="F428" s="37"/>
      <c r="G428" s="37"/>
      <c r="H428" s="40"/>
      <c r="I428" s="37"/>
      <c r="J428" s="40"/>
    </row>
    <row r="429" spans="1:10">
      <c r="A429" s="134"/>
      <c r="E429" s="37"/>
      <c r="F429" s="37"/>
      <c r="G429" s="37"/>
      <c r="H429" s="37"/>
      <c r="I429" s="37"/>
      <c r="J429" s="37"/>
    </row>
    <row r="430" spans="1:10">
      <c r="A430" s="134"/>
      <c r="E430" s="37"/>
      <c r="F430" s="37"/>
      <c r="G430" s="37"/>
      <c r="H430" s="37"/>
      <c r="I430" s="37"/>
      <c r="J430" s="37"/>
    </row>
    <row r="431" spans="1:10">
      <c r="A431" s="134"/>
      <c r="E431" s="37"/>
      <c r="F431" s="37"/>
      <c r="G431" s="37"/>
      <c r="H431" s="40"/>
      <c r="I431" s="37"/>
      <c r="J431" s="37"/>
    </row>
    <row r="432" spans="1:10">
      <c r="A432" s="134"/>
      <c r="E432" s="37"/>
      <c r="F432" s="37"/>
      <c r="G432" s="37"/>
      <c r="H432" s="37"/>
      <c r="I432" s="37"/>
      <c r="J432" s="37"/>
    </row>
    <row r="433" spans="1:10">
      <c r="A433" s="134"/>
      <c r="E433" s="40"/>
      <c r="F433" s="37"/>
      <c r="G433" s="37"/>
      <c r="H433" s="37"/>
      <c r="I433" s="37"/>
      <c r="J433" s="37"/>
    </row>
    <row r="434" spans="1:10">
      <c r="A434" s="134"/>
      <c r="E434" s="37"/>
      <c r="F434" s="37"/>
      <c r="G434" s="37"/>
      <c r="H434" s="37"/>
      <c r="I434" s="37"/>
      <c r="J434" s="37"/>
    </row>
    <row r="435" spans="1:10">
      <c r="A435" s="134"/>
      <c r="E435" s="37"/>
      <c r="F435" s="37"/>
      <c r="G435" s="37"/>
      <c r="H435" s="40"/>
      <c r="I435" s="37"/>
      <c r="J435" s="40"/>
    </row>
    <row r="436" spans="1:10">
      <c r="A436" s="134"/>
      <c r="E436" s="40"/>
      <c r="F436" s="37"/>
      <c r="G436" s="37"/>
      <c r="H436" s="40"/>
      <c r="I436" s="37"/>
      <c r="J436" s="37"/>
    </row>
    <row r="437" spans="1:10">
      <c r="A437" s="134"/>
      <c r="E437" s="37"/>
      <c r="F437" s="37"/>
      <c r="G437" s="37"/>
      <c r="H437" s="37"/>
      <c r="I437" s="37"/>
      <c r="J437" s="37"/>
    </row>
    <row r="438" spans="1:10">
      <c r="A438" s="134"/>
      <c r="E438" s="37"/>
      <c r="F438" s="37"/>
      <c r="G438" s="37"/>
      <c r="H438" s="40"/>
      <c r="I438" s="37"/>
      <c r="J438" s="37"/>
    </row>
    <row r="439" spans="1:10">
      <c r="A439" s="134"/>
      <c r="E439" s="37"/>
      <c r="F439" s="37"/>
      <c r="G439" s="37"/>
      <c r="H439" s="40"/>
      <c r="I439" s="37"/>
      <c r="J439" s="37"/>
    </row>
    <row r="440" spans="1:10">
      <c r="A440" s="134"/>
      <c r="E440" s="37"/>
      <c r="F440" s="37"/>
      <c r="G440" s="37"/>
      <c r="H440" s="37"/>
      <c r="I440" s="37"/>
      <c r="J440" s="37"/>
    </row>
    <row r="441" spans="1:10">
      <c r="A441" s="134"/>
      <c r="E441" s="37"/>
      <c r="F441" s="37"/>
      <c r="G441" s="37"/>
      <c r="H441" s="40"/>
      <c r="I441" s="37"/>
      <c r="J441" s="37"/>
    </row>
    <row r="442" spans="1:10">
      <c r="A442" s="134"/>
      <c r="E442" s="37"/>
      <c r="F442" s="37"/>
      <c r="G442" s="37"/>
      <c r="H442" s="40"/>
      <c r="I442" s="37"/>
      <c r="J442" s="37"/>
    </row>
    <row r="443" spans="1:10">
      <c r="A443" s="134"/>
      <c r="E443" s="40"/>
      <c r="F443" s="37"/>
      <c r="G443" s="37"/>
      <c r="H443" s="37"/>
      <c r="I443" s="37"/>
      <c r="J443" s="37"/>
    </row>
    <row r="444" spans="1:10">
      <c r="A444" s="134"/>
      <c r="E444" s="37"/>
      <c r="F444" s="37"/>
      <c r="G444" s="37"/>
      <c r="H444" s="37"/>
      <c r="I444" s="37"/>
      <c r="J444" s="37"/>
    </row>
    <row r="445" spans="1:10">
      <c r="A445" s="134"/>
      <c r="E445" s="37"/>
      <c r="F445" s="37"/>
      <c r="G445" s="37"/>
      <c r="H445" s="37"/>
      <c r="I445" s="37"/>
      <c r="J445" s="37"/>
    </row>
    <row r="446" spans="1:10">
      <c r="A446" s="134"/>
      <c r="E446" s="37"/>
      <c r="F446" s="37"/>
      <c r="G446" s="37"/>
      <c r="H446" s="37"/>
      <c r="I446" s="37"/>
      <c r="J446" s="37"/>
    </row>
    <row r="447" spans="1:10">
      <c r="A447" s="134"/>
      <c r="E447" s="37"/>
      <c r="F447" s="37"/>
      <c r="G447" s="37"/>
      <c r="H447" s="37"/>
      <c r="I447" s="37"/>
      <c r="J447" s="37"/>
    </row>
    <row r="448" spans="1:10">
      <c r="A448" s="134"/>
      <c r="E448" s="37"/>
      <c r="F448" s="37"/>
      <c r="G448" s="37"/>
      <c r="H448" s="40"/>
      <c r="I448" s="37"/>
      <c r="J448" s="37"/>
    </row>
    <row r="449" spans="1:10">
      <c r="A449" s="134"/>
      <c r="E449" s="37"/>
      <c r="F449" s="37"/>
      <c r="G449" s="37"/>
      <c r="H449" s="37"/>
      <c r="I449" s="37"/>
      <c r="J449" s="37"/>
    </row>
    <row r="450" spans="1:10">
      <c r="A450" s="134"/>
      <c r="E450" s="37"/>
      <c r="F450" s="37"/>
      <c r="G450" s="37"/>
      <c r="H450" s="40"/>
      <c r="I450" s="37"/>
      <c r="J450" s="37"/>
    </row>
    <row r="451" spans="1:10">
      <c r="A451" s="134"/>
      <c r="E451" s="37"/>
      <c r="F451" s="37"/>
      <c r="G451" s="37"/>
      <c r="H451" s="37"/>
      <c r="I451" s="37"/>
      <c r="J451" s="37"/>
    </row>
    <row r="452" spans="1:10">
      <c r="A452" s="134"/>
      <c r="E452" s="37"/>
      <c r="F452" s="37"/>
      <c r="G452" s="37"/>
      <c r="H452" s="37"/>
      <c r="I452" s="37"/>
      <c r="J452" s="37"/>
    </row>
    <row r="453" spans="1:10">
      <c r="A453" s="134"/>
      <c r="E453" s="37"/>
      <c r="F453" s="37"/>
      <c r="G453" s="37"/>
      <c r="H453" s="37"/>
      <c r="I453" s="37"/>
      <c r="J453" s="37"/>
    </row>
    <row r="454" spans="1:10">
      <c r="A454" s="134"/>
      <c r="E454" s="37"/>
      <c r="F454" s="37"/>
      <c r="G454" s="37"/>
      <c r="H454" s="37"/>
      <c r="I454" s="37"/>
      <c r="J454" s="37"/>
    </row>
    <row r="455" spans="1:10">
      <c r="A455" s="134"/>
      <c r="E455" s="37"/>
      <c r="F455" s="37"/>
      <c r="G455" s="37"/>
      <c r="H455" s="37"/>
      <c r="I455" s="37"/>
      <c r="J455" s="37"/>
    </row>
    <row r="456" spans="1:10">
      <c r="A456" s="134"/>
      <c r="E456" s="37"/>
      <c r="F456" s="37"/>
      <c r="G456" s="37"/>
      <c r="H456" s="37"/>
      <c r="I456" s="37"/>
      <c r="J456" s="37"/>
    </row>
    <row r="457" spans="1:10">
      <c r="A457" s="134"/>
      <c r="E457" s="37"/>
      <c r="F457" s="37"/>
      <c r="G457" s="37"/>
      <c r="H457" s="37"/>
      <c r="I457" s="37"/>
      <c r="J457" s="37"/>
    </row>
    <row r="458" spans="1:10">
      <c r="A458" s="134"/>
      <c r="E458" s="37"/>
      <c r="F458" s="37"/>
      <c r="G458" s="37"/>
      <c r="H458" s="37"/>
      <c r="I458" s="37"/>
      <c r="J458" s="37"/>
    </row>
    <row r="459" spans="1:10">
      <c r="A459" s="134"/>
      <c r="E459" s="40"/>
      <c r="F459" s="37"/>
      <c r="G459" s="37"/>
      <c r="H459" s="40"/>
      <c r="I459" s="37"/>
      <c r="J459" s="37"/>
    </row>
    <row r="460" spans="1:10">
      <c r="A460" s="134"/>
      <c r="E460" s="37"/>
      <c r="F460" s="37"/>
      <c r="G460" s="37"/>
      <c r="H460" s="37"/>
      <c r="I460" s="37"/>
      <c r="J460" s="37"/>
    </row>
    <row r="461" spans="1:10">
      <c r="A461" s="134"/>
      <c r="E461" s="37"/>
      <c r="F461" s="37"/>
      <c r="G461" s="37"/>
      <c r="H461" s="40"/>
      <c r="I461" s="37"/>
      <c r="J461" s="37"/>
    </row>
    <row r="462" spans="1:10">
      <c r="A462" s="134"/>
      <c r="E462" s="37"/>
      <c r="F462" s="37"/>
      <c r="G462" s="37"/>
      <c r="H462" s="40"/>
      <c r="I462" s="37"/>
      <c r="J462" s="37"/>
    </row>
    <row r="463" spans="1:10">
      <c r="A463" s="134"/>
      <c r="E463" s="37"/>
      <c r="F463" s="37"/>
      <c r="G463" s="37"/>
      <c r="H463" s="40"/>
      <c r="I463" s="37"/>
      <c r="J463" s="37"/>
    </row>
    <row r="464" spans="1:10">
      <c r="A464" s="134"/>
      <c r="E464" s="37"/>
      <c r="F464" s="37"/>
      <c r="G464" s="37"/>
      <c r="H464" s="40"/>
      <c r="I464" s="37"/>
      <c r="J464" s="37"/>
    </row>
    <row r="465" spans="1:10">
      <c r="A465" s="134"/>
      <c r="E465" s="37"/>
      <c r="F465" s="37"/>
      <c r="G465" s="37"/>
      <c r="H465" s="40"/>
      <c r="I465" s="37"/>
      <c r="J465" s="37"/>
    </row>
    <row r="466" spans="1:10">
      <c r="A466" s="134"/>
      <c r="E466" s="37"/>
      <c r="F466" s="37"/>
      <c r="G466" s="37"/>
      <c r="H466" s="37"/>
      <c r="I466" s="37"/>
      <c r="J466" s="37"/>
    </row>
    <row r="467" spans="1:10">
      <c r="A467" s="134"/>
      <c r="E467" s="37"/>
      <c r="F467" s="37"/>
      <c r="G467" s="37"/>
      <c r="H467" s="40"/>
      <c r="I467" s="37"/>
      <c r="J467" s="40"/>
    </row>
    <row r="468" spans="1:10">
      <c r="A468" s="134"/>
      <c r="E468" s="37"/>
      <c r="F468" s="37"/>
      <c r="G468" s="37"/>
      <c r="H468" s="37"/>
      <c r="I468" s="37"/>
      <c r="J468" s="37"/>
    </row>
    <row r="469" spans="1:10">
      <c r="A469" s="134"/>
      <c r="E469" s="37"/>
      <c r="F469" s="37"/>
      <c r="G469" s="37"/>
      <c r="H469" s="37"/>
      <c r="I469" s="37"/>
      <c r="J469" s="37"/>
    </row>
    <row r="470" spans="1:10">
      <c r="A470" s="134"/>
      <c r="E470" s="37"/>
      <c r="F470" s="37"/>
      <c r="G470" s="37"/>
      <c r="H470" s="40"/>
      <c r="I470" s="37"/>
      <c r="J470" s="40"/>
    </row>
    <row r="471" spans="1:10">
      <c r="A471" s="134"/>
      <c r="E471" s="37"/>
      <c r="F471" s="37"/>
      <c r="G471" s="37"/>
      <c r="H471" s="37"/>
      <c r="I471" s="37"/>
      <c r="J471" s="37"/>
    </row>
    <row r="472" spans="1:10">
      <c r="A472" s="134"/>
      <c r="E472" s="37"/>
      <c r="F472" s="37"/>
      <c r="G472" s="37"/>
      <c r="H472" s="40"/>
      <c r="I472" s="37"/>
      <c r="J472" s="37"/>
    </row>
    <row r="473" spans="1:10">
      <c r="A473" s="134"/>
      <c r="E473" s="37"/>
      <c r="F473" s="37"/>
      <c r="G473" s="37"/>
      <c r="H473" s="37"/>
      <c r="I473" s="37"/>
      <c r="J473" s="37"/>
    </row>
    <row r="474" spans="1:10">
      <c r="A474" s="134"/>
      <c r="E474" s="37"/>
      <c r="F474" s="37"/>
      <c r="G474" s="37"/>
      <c r="H474" s="40"/>
      <c r="I474" s="37"/>
      <c r="J474" s="37"/>
    </row>
    <row r="475" spans="1:10">
      <c r="A475" s="134"/>
      <c r="E475" s="37"/>
      <c r="F475" s="37"/>
      <c r="G475" s="37"/>
      <c r="H475" s="40"/>
      <c r="I475" s="37"/>
      <c r="J475" s="37"/>
    </row>
    <row r="476" spans="1:10">
      <c r="A476" s="134"/>
      <c r="E476" s="37"/>
      <c r="F476" s="37"/>
      <c r="G476" s="37"/>
      <c r="H476" s="37"/>
      <c r="I476" s="37"/>
      <c r="J476" s="37"/>
    </row>
    <row r="477" spans="1:10">
      <c r="A477" s="134"/>
      <c r="E477" s="37"/>
      <c r="F477" s="37"/>
      <c r="G477" s="37"/>
      <c r="H477" s="40"/>
      <c r="I477" s="37"/>
      <c r="J477" s="37"/>
    </row>
    <row r="478" spans="1:10">
      <c r="A478" s="134"/>
      <c r="E478" s="37"/>
      <c r="F478" s="37"/>
      <c r="G478" s="37"/>
      <c r="H478" s="37"/>
      <c r="I478" s="37"/>
      <c r="J478" s="37"/>
    </row>
    <row r="479" spans="1:10">
      <c r="A479" s="134"/>
      <c r="E479" s="37"/>
      <c r="F479" s="37"/>
      <c r="G479" s="37"/>
      <c r="H479" s="37"/>
      <c r="I479" s="37"/>
      <c r="J479" s="37"/>
    </row>
    <row r="480" spans="1:10">
      <c r="A480" s="134"/>
      <c r="E480" s="37"/>
      <c r="F480" s="37"/>
      <c r="G480" s="37"/>
      <c r="H480" s="40"/>
      <c r="I480" s="37"/>
      <c r="J480" s="37"/>
    </row>
    <row r="481" spans="1:10">
      <c r="A481" s="134"/>
      <c r="E481" s="37"/>
      <c r="F481" s="37"/>
      <c r="G481" s="37"/>
      <c r="H481" s="37"/>
      <c r="I481" s="37"/>
      <c r="J481" s="37"/>
    </row>
    <row r="482" spans="1:10">
      <c r="A482" s="134"/>
      <c r="E482" s="40"/>
      <c r="F482" s="37"/>
      <c r="G482" s="37"/>
      <c r="H482" s="37"/>
      <c r="I482" s="37"/>
      <c r="J482" s="37"/>
    </row>
    <row r="483" spans="1:10">
      <c r="A483" s="134"/>
      <c r="E483" s="37"/>
      <c r="F483" s="37"/>
      <c r="G483" s="37"/>
      <c r="H483" s="37"/>
      <c r="I483" s="37"/>
      <c r="J483" s="37"/>
    </row>
    <row r="484" spans="1:10">
      <c r="A484" s="134"/>
      <c r="E484" s="37"/>
      <c r="F484" s="37"/>
      <c r="G484" s="37"/>
      <c r="H484" s="37"/>
      <c r="I484" s="37"/>
      <c r="J484" s="37"/>
    </row>
    <row r="485" spans="1:10">
      <c r="A485" s="134"/>
      <c r="E485" s="40"/>
      <c r="F485" s="37"/>
      <c r="G485" s="37"/>
      <c r="H485" s="40"/>
      <c r="I485" s="37"/>
      <c r="J485" s="37"/>
    </row>
    <row r="486" spans="1:10">
      <c r="A486" s="134"/>
      <c r="E486" s="37"/>
      <c r="F486" s="37"/>
      <c r="G486" s="37"/>
      <c r="H486" s="37"/>
      <c r="I486" s="37"/>
      <c r="J486" s="37"/>
    </row>
    <row r="487" spans="1:10">
      <c r="A487" s="134"/>
      <c r="E487" s="37"/>
      <c r="F487" s="37"/>
      <c r="G487" s="37"/>
      <c r="H487" s="40"/>
      <c r="I487" s="37"/>
      <c r="J487" s="37"/>
    </row>
    <row r="488" spans="1:10">
      <c r="A488" s="134"/>
      <c r="E488" s="37"/>
      <c r="F488" s="37"/>
      <c r="G488" s="37"/>
      <c r="H488" s="37"/>
      <c r="I488" s="37"/>
      <c r="J488" s="37"/>
    </row>
    <row r="489" spans="1:10">
      <c r="A489" s="134"/>
      <c r="E489" s="37"/>
      <c r="F489" s="37"/>
      <c r="G489" s="37"/>
      <c r="H489" s="40"/>
      <c r="I489" s="37"/>
      <c r="J489" s="37"/>
    </row>
    <row r="490" spans="1:10">
      <c r="A490" s="134"/>
      <c r="E490" s="37"/>
      <c r="F490" s="37"/>
      <c r="G490" s="37"/>
      <c r="H490" s="37"/>
      <c r="I490" s="37"/>
      <c r="J490" s="37"/>
    </row>
    <row r="491" spans="1:10">
      <c r="A491" s="134"/>
      <c r="E491" s="40"/>
      <c r="F491" s="37"/>
      <c r="G491" s="37"/>
      <c r="H491" s="37"/>
      <c r="I491" s="37"/>
      <c r="J491" s="37"/>
    </row>
    <row r="492" spans="1:10">
      <c r="A492" s="134"/>
      <c r="E492" s="40"/>
      <c r="F492" s="37"/>
      <c r="G492" s="37"/>
      <c r="H492" s="37"/>
      <c r="I492" s="37"/>
      <c r="J492" s="37"/>
    </row>
    <row r="493" spans="1:10">
      <c r="A493" s="134"/>
      <c r="E493" s="37"/>
      <c r="F493" s="37"/>
      <c r="G493" s="37"/>
      <c r="H493" s="37"/>
      <c r="I493" s="37"/>
      <c r="J493" s="37"/>
    </row>
    <row r="494" spans="1:10">
      <c r="A494" s="134"/>
      <c r="E494" s="37"/>
      <c r="F494" s="37"/>
      <c r="G494" s="37"/>
      <c r="H494" s="37"/>
      <c r="I494" s="37"/>
      <c r="J494" s="37"/>
    </row>
    <row r="495" spans="1:10">
      <c r="A495" s="134"/>
      <c r="E495" s="37"/>
      <c r="F495" s="37"/>
      <c r="G495" s="37"/>
      <c r="H495" s="37"/>
      <c r="I495" s="37"/>
      <c r="J495" s="37"/>
    </row>
    <row r="496" spans="1:10">
      <c r="A496" s="134"/>
      <c r="E496" s="37"/>
      <c r="F496" s="37"/>
      <c r="G496" s="37"/>
      <c r="H496" s="40"/>
      <c r="I496" s="37"/>
      <c r="J496" s="37"/>
    </row>
    <row r="497" spans="1:10">
      <c r="A497" s="134"/>
      <c r="E497" s="37"/>
      <c r="F497" s="37"/>
      <c r="G497" s="37"/>
      <c r="H497" s="37"/>
      <c r="I497" s="37"/>
      <c r="J497" s="37"/>
    </row>
    <row r="498" spans="1:10">
      <c r="A498" s="134"/>
      <c r="E498" s="37"/>
      <c r="F498" s="37"/>
      <c r="G498" s="37"/>
      <c r="H498" s="40"/>
      <c r="I498" s="37"/>
      <c r="J498" s="37"/>
    </row>
    <row r="499" spans="1:10">
      <c r="A499" s="134"/>
      <c r="E499" s="37"/>
      <c r="F499" s="37"/>
      <c r="G499" s="37"/>
      <c r="H499" s="37"/>
      <c r="I499" s="37"/>
      <c r="J499" s="37"/>
    </row>
    <row r="500" spans="1:10">
      <c r="A500" s="134"/>
      <c r="E500" s="37"/>
      <c r="F500" s="37"/>
      <c r="G500" s="37"/>
      <c r="H500" s="40"/>
      <c r="I500" s="37"/>
      <c r="J500" s="37"/>
    </row>
    <row r="501" spans="1:10">
      <c r="A501" s="134"/>
      <c r="E501" s="37"/>
      <c r="F501" s="37"/>
      <c r="G501" s="37"/>
      <c r="H501" s="37"/>
      <c r="I501" s="37"/>
      <c r="J501" s="37"/>
    </row>
    <row r="502" spans="1:10">
      <c r="A502" s="134"/>
      <c r="E502" s="37"/>
      <c r="F502" s="37"/>
      <c r="G502" s="37"/>
      <c r="H502" s="37"/>
      <c r="I502" s="37"/>
      <c r="J502" s="37"/>
    </row>
    <row r="503" spans="1:10">
      <c r="A503" s="134"/>
      <c r="E503" s="37"/>
      <c r="F503" s="37"/>
      <c r="G503" s="37"/>
      <c r="H503" s="37"/>
      <c r="I503" s="37"/>
      <c r="J503" s="37"/>
    </row>
    <row r="504" spans="1:10">
      <c r="A504" s="134"/>
      <c r="E504" s="37"/>
      <c r="F504" s="37"/>
      <c r="G504" s="37"/>
      <c r="H504" s="37"/>
      <c r="I504" s="37"/>
      <c r="J504" s="37"/>
    </row>
    <row r="505" spans="1:10">
      <c r="A505" s="134"/>
      <c r="E505" s="37"/>
      <c r="F505" s="37"/>
      <c r="G505" s="37"/>
      <c r="H505" s="40"/>
      <c r="I505" s="37"/>
      <c r="J505" s="37"/>
    </row>
    <row r="506" spans="1:10">
      <c r="A506" s="134"/>
      <c r="E506" s="37"/>
      <c r="F506" s="37"/>
      <c r="G506" s="37"/>
      <c r="H506" s="40"/>
      <c r="I506" s="37"/>
      <c r="J506" s="37"/>
    </row>
    <row r="507" spans="1:10">
      <c r="A507" s="134"/>
      <c r="E507" s="37"/>
      <c r="F507" s="37"/>
      <c r="G507" s="37"/>
      <c r="H507" s="37"/>
      <c r="I507" s="37"/>
      <c r="J507" s="37"/>
    </row>
    <row r="508" spans="1:10">
      <c r="A508" s="134"/>
      <c r="E508" s="37"/>
      <c r="F508" s="37"/>
      <c r="G508" s="37"/>
      <c r="H508" s="37"/>
      <c r="I508" s="37"/>
      <c r="J508" s="37"/>
    </row>
    <row r="509" spans="1:10">
      <c r="A509" s="134"/>
      <c r="E509" s="37"/>
      <c r="F509" s="37"/>
      <c r="G509" s="37"/>
      <c r="H509" s="37"/>
      <c r="I509" s="37"/>
      <c r="J509" s="37"/>
    </row>
    <row r="510" spans="1:10">
      <c r="A510" s="134"/>
      <c r="E510" s="37"/>
      <c r="F510" s="37"/>
      <c r="G510" s="37"/>
      <c r="H510" s="37"/>
      <c r="I510" s="37"/>
      <c r="J510" s="40"/>
    </row>
    <row r="511" spans="1:10">
      <c r="A511" s="134"/>
      <c r="E511" s="40"/>
      <c r="F511" s="37"/>
      <c r="G511" s="37"/>
      <c r="H511" s="40"/>
      <c r="I511" s="37"/>
      <c r="J511" s="40"/>
    </row>
    <row r="512" spans="1:10">
      <c r="A512" s="134"/>
      <c r="E512" s="37"/>
      <c r="F512" s="37"/>
      <c r="G512" s="37"/>
      <c r="H512" s="37"/>
      <c r="I512" s="37"/>
      <c r="J512" s="37"/>
    </row>
    <row r="513" spans="1:10">
      <c r="A513" s="134"/>
      <c r="E513" s="37"/>
      <c r="F513" s="37"/>
      <c r="G513" s="37"/>
      <c r="H513" s="40"/>
      <c r="I513" s="37"/>
      <c r="J513" s="37"/>
    </row>
    <row r="514" spans="1:10">
      <c r="A514" s="134"/>
      <c r="E514" s="37"/>
      <c r="F514" s="37"/>
      <c r="G514" s="37"/>
      <c r="H514" s="40"/>
      <c r="I514" s="37"/>
      <c r="J514" s="37"/>
    </row>
    <row r="515" spans="1:10">
      <c r="A515" s="134"/>
      <c r="E515" s="37"/>
      <c r="F515" s="37"/>
      <c r="G515" s="37"/>
      <c r="H515" s="40"/>
      <c r="I515" s="37"/>
      <c r="J515" s="37"/>
    </row>
    <row r="516" spans="1:10">
      <c r="A516" s="134"/>
      <c r="E516" s="37"/>
      <c r="F516" s="37"/>
      <c r="G516" s="37"/>
      <c r="H516" s="40"/>
      <c r="I516" s="37"/>
      <c r="J516" s="37"/>
    </row>
    <row r="517" spans="1:10">
      <c r="A517" s="134"/>
      <c r="E517" s="37"/>
      <c r="F517" s="37"/>
      <c r="G517" s="37"/>
      <c r="H517" s="40"/>
      <c r="I517" s="37"/>
      <c r="J517" s="37"/>
    </row>
    <row r="518" spans="1:10">
      <c r="A518" s="134"/>
      <c r="E518" s="37"/>
      <c r="F518" s="37"/>
      <c r="G518" s="37"/>
      <c r="H518" s="37"/>
      <c r="I518" s="37"/>
      <c r="J518" s="37"/>
    </row>
    <row r="519" spans="1:10">
      <c r="A519" s="134"/>
      <c r="E519" s="37"/>
      <c r="F519" s="37"/>
      <c r="G519" s="37"/>
      <c r="H519" s="40"/>
      <c r="I519" s="37"/>
      <c r="J519" s="37"/>
    </row>
    <row r="520" spans="1:10">
      <c r="A520" s="134"/>
      <c r="E520" s="37"/>
      <c r="F520" s="37"/>
      <c r="G520" s="37"/>
      <c r="H520" s="37"/>
      <c r="I520" s="37"/>
      <c r="J520" s="37"/>
    </row>
    <row r="521" spans="1:10">
      <c r="A521" s="134"/>
      <c r="E521" s="37"/>
      <c r="F521" s="37"/>
      <c r="G521" s="37"/>
      <c r="H521" s="40"/>
      <c r="I521" s="37"/>
      <c r="J521" s="40"/>
    </row>
    <row r="522" spans="1:10">
      <c r="A522" s="134"/>
      <c r="E522" s="37"/>
      <c r="F522" s="37"/>
      <c r="G522" s="37"/>
      <c r="H522" s="40"/>
      <c r="I522" s="37"/>
      <c r="J522" s="37"/>
    </row>
    <row r="523" spans="1:10">
      <c r="A523" s="134"/>
      <c r="E523" s="37"/>
      <c r="F523" s="37"/>
      <c r="G523" s="37"/>
      <c r="H523" s="37"/>
      <c r="I523" s="37"/>
      <c r="J523" s="37"/>
    </row>
    <row r="524" spans="1:10">
      <c r="A524" s="134"/>
      <c r="E524" s="37"/>
      <c r="F524" s="37"/>
      <c r="G524" s="37"/>
      <c r="H524" s="40"/>
      <c r="I524" s="37"/>
      <c r="J524" s="37"/>
    </row>
    <row r="525" spans="1:10">
      <c r="A525" s="134"/>
      <c r="E525" s="37"/>
      <c r="F525" s="37"/>
      <c r="G525" s="37"/>
      <c r="H525" s="40"/>
      <c r="I525" s="37"/>
      <c r="J525" s="37"/>
    </row>
    <row r="526" spans="1:10">
      <c r="A526" s="134"/>
      <c r="E526" s="37"/>
      <c r="F526" s="37"/>
      <c r="G526" s="37"/>
      <c r="H526" s="40"/>
      <c r="I526" s="37"/>
      <c r="J526" s="37"/>
    </row>
    <row r="527" spans="1:10">
      <c r="A527" s="134"/>
      <c r="E527" s="37"/>
      <c r="F527" s="37"/>
      <c r="G527" s="37"/>
      <c r="H527" s="40"/>
      <c r="I527" s="37"/>
      <c r="J527" s="37"/>
    </row>
    <row r="528" spans="1:10">
      <c r="A528" s="134"/>
      <c r="E528" s="37"/>
      <c r="F528" s="37"/>
      <c r="G528" s="37"/>
      <c r="H528" s="40"/>
      <c r="I528" s="37"/>
      <c r="J528" s="37"/>
    </row>
    <row r="529" spans="1:10">
      <c r="A529" s="134"/>
      <c r="E529" s="37"/>
      <c r="F529" s="37"/>
      <c r="G529" s="37"/>
      <c r="H529" s="40"/>
      <c r="I529" s="37"/>
      <c r="J529" s="40"/>
    </row>
    <row r="530" spans="1:10">
      <c r="A530" s="134"/>
      <c r="E530" s="37"/>
      <c r="F530" s="37"/>
      <c r="G530" s="37"/>
      <c r="H530" s="37"/>
      <c r="I530" s="37"/>
      <c r="J530" s="37"/>
    </row>
    <row r="531" spans="1:10">
      <c r="A531" s="134"/>
      <c r="E531" s="37"/>
      <c r="F531" s="37"/>
      <c r="G531" s="37"/>
      <c r="H531" s="37"/>
      <c r="I531" s="37"/>
      <c r="J531" s="37"/>
    </row>
    <row r="532" spans="1:10">
      <c r="A532" s="134"/>
      <c r="E532" s="37"/>
      <c r="F532" s="37"/>
      <c r="G532" s="37"/>
      <c r="H532" s="40"/>
      <c r="I532" s="37"/>
      <c r="J532" s="37"/>
    </row>
    <row r="533" spans="1:10">
      <c r="A533" s="134"/>
      <c r="E533" s="37"/>
      <c r="F533" s="37"/>
      <c r="G533" s="37"/>
      <c r="H533" s="37"/>
      <c r="I533" s="37"/>
      <c r="J533" s="37"/>
    </row>
    <row r="534" spans="1:10">
      <c r="A534" s="134"/>
      <c r="E534" s="37"/>
      <c r="F534" s="37"/>
      <c r="G534" s="37"/>
      <c r="H534" s="37"/>
      <c r="I534" s="37"/>
      <c r="J534" s="37"/>
    </row>
    <row r="535" spans="1:10">
      <c r="A535" s="134"/>
      <c r="E535" s="40"/>
      <c r="F535" s="37"/>
      <c r="G535" s="37"/>
      <c r="H535" s="40"/>
      <c r="I535" s="37"/>
      <c r="J535" s="37"/>
    </row>
    <row r="536" spans="1:10">
      <c r="A536" s="134"/>
      <c r="E536" s="37"/>
      <c r="F536" s="37"/>
      <c r="G536" s="37"/>
      <c r="H536" s="37"/>
      <c r="I536" s="37"/>
      <c r="J536" s="37"/>
    </row>
    <row r="537" spans="1:10">
      <c r="A537" s="134"/>
      <c r="E537" s="37"/>
      <c r="F537" s="37"/>
      <c r="G537" s="37"/>
      <c r="H537" s="40"/>
      <c r="I537" s="37"/>
      <c r="J537" s="37"/>
    </row>
    <row r="538" spans="1:10">
      <c r="A538" s="134"/>
      <c r="E538" s="40"/>
      <c r="F538" s="37"/>
      <c r="G538" s="37"/>
      <c r="H538" s="40"/>
      <c r="I538" s="37"/>
      <c r="J538" s="37"/>
    </row>
    <row r="539" spans="1:10">
      <c r="A539" s="134"/>
      <c r="E539" s="37"/>
      <c r="F539" s="37"/>
      <c r="G539" s="37"/>
      <c r="H539" s="40"/>
      <c r="I539" s="37"/>
      <c r="J539" s="37"/>
    </row>
    <row r="540" spans="1:10">
      <c r="A540" s="134"/>
      <c r="E540" s="37"/>
      <c r="F540" s="37"/>
      <c r="G540" s="37"/>
      <c r="H540" s="40"/>
      <c r="I540" s="37"/>
      <c r="J540" s="37"/>
    </row>
    <row r="541" spans="1:10">
      <c r="A541" s="134"/>
      <c r="E541" s="37"/>
      <c r="F541" s="37"/>
      <c r="G541" s="37"/>
      <c r="H541" s="37"/>
      <c r="I541" s="37"/>
      <c r="J541" s="37"/>
    </row>
    <row r="542" spans="1:10">
      <c r="A542" s="134"/>
      <c r="E542" s="37"/>
      <c r="F542" s="37"/>
      <c r="G542" s="37"/>
      <c r="H542" s="40"/>
      <c r="I542" s="37"/>
      <c r="J542" s="37"/>
    </row>
    <row r="543" spans="1:10">
      <c r="A543" s="134"/>
      <c r="E543" s="37"/>
      <c r="F543" s="37"/>
      <c r="G543" s="37"/>
      <c r="H543" s="37"/>
      <c r="I543" s="37"/>
      <c r="J543" s="37"/>
    </row>
    <row r="544" spans="1:10">
      <c r="A544" s="134"/>
      <c r="E544" s="40"/>
      <c r="F544" s="37"/>
      <c r="G544" s="37"/>
      <c r="H544" s="37"/>
      <c r="I544" s="37"/>
      <c r="J544" s="37"/>
    </row>
    <row r="545" spans="1:10">
      <c r="A545" s="134"/>
      <c r="E545" s="40"/>
      <c r="F545" s="37"/>
      <c r="G545" s="37"/>
      <c r="H545" s="37"/>
      <c r="I545" s="37"/>
      <c r="J545" s="37"/>
    </row>
    <row r="546" spans="1:10">
      <c r="A546" s="134"/>
      <c r="E546" s="37"/>
      <c r="F546" s="37"/>
      <c r="G546" s="37"/>
      <c r="H546" s="37"/>
      <c r="I546" s="37"/>
      <c r="J546" s="37"/>
    </row>
    <row r="547" spans="1:10">
      <c r="A547" s="134"/>
      <c r="E547" s="37"/>
      <c r="F547" s="37"/>
      <c r="G547" s="37"/>
      <c r="H547" s="37"/>
      <c r="I547" s="37"/>
      <c r="J547" s="37"/>
    </row>
    <row r="548" spans="1:10">
      <c r="A548" s="134"/>
      <c r="E548" s="37"/>
      <c r="F548" s="37"/>
      <c r="G548" s="37"/>
      <c r="H548" s="37"/>
      <c r="I548" s="37"/>
      <c r="J548" s="37"/>
    </row>
    <row r="549" spans="1:10">
      <c r="A549" s="134"/>
      <c r="E549" s="37"/>
      <c r="F549" s="37"/>
      <c r="G549" s="37"/>
      <c r="H549" s="37"/>
      <c r="I549" s="37"/>
      <c r="J549" s="37"/>
    </row>
    <row r="550" spans="1:10">
      <c r="A550" s="134"/>
      <c r="E550" s="37"/>
      <c r="F550" s="37"/>
      <c r="G550" s="37"/>
      <c r="H550" s="37"/>
      <c r="I550" s="37"/>
      <c r="J550" s="37"/>
    </row>
    <row r="551" spans="1:10">
      <c r="A551" s="134"/>
      <c r="E551" s="37"/>
      <c r="F551" s="37"/>
      <c r="G551" s="37"/>
      <c r="H551" s="40"/>
      <c r="I551" s="37"/>
      <c r="J551" s="37"/>
    </row>
    <row r="552" spans="1:10">
      <c r="A552" s="134"/>
      <c r="E552" s="37"/>
      <c r="F552" s="37"/>
      <c r="G552" s="37"/>
      <c r="H552" s="40"/>
      <c r="I552" s="37"/>
      <c r="J552" s="37"/>
    </row>
    <row r="553" spans="1:10">
      <c r="A553" s="134"/>
      <c r="E553" s="37"/>
      <c r="F553" s="37"/>
      <c r="G553" s="37"/>
      <c r="H553" s="40"/>
      <c r="I553" s="37"/>
      <c r="J553" s="37"/>
    </row>
    <row r="554" spans="1:10">
      <c r="A554" s="134"/>
      <c r="E554" s="37"/>
      <c r="F554" s="37"/>
      <c r="G554" s="37"/>
      <c r="H554" s="37"/>
      <c r="I554" s="37"/>
      <c r="J554" s="37"/>
    </row>
    <row r="555" spans="1:10">
      <c r="A555" s="134"/>
      <c r="E555" s="37"/>
      <c r="F555" s="37"/>
      <c r="G555" s="37"/>
      <c r="H555" s="37"/>
      <c r="I555" s="37"/>
      <c r="J555" s="37"/>
    </row>
    <row r="556" spans="1:10">
      <c r="A556" s="134"/>
      <c r="E556" s="37"/>
      <c r="F556" s="37"/>
      <c r="G556" s="37"/>
      <c r="H556" s="40"/>
      <c r="I556" s="37"/>
      <c r="J556" s="37"/>
    </row>
    <row r="557" spans="1:10">
      <c r="A557" s="134"/>
      <c r="E557" s="37"/>
      <c r="F557" s="37"/>
      <c r="G557" s="37"/>
      <c r="H557" s="37"/>
      <c r="I557" s="37"/>
      <c r="J557" s="37"/>
    </row>
    <row r="558" spans="1:10">
      <c r="A558" s="134"/>
      <c r="E558" s="37"/>
      <c r="F558" s="37"/>
      <c r="G558" s="37"/>
      <c r="H558" s="37"/>
      <c r="I558" s="37"/>
      <c r="J558" s="37"/>
    </row>
    <row r="559" spans="1:10">
      <c r="A559" s="134"/>
      <c r="E559" s="37"/>
      <c r="F559" s="37"/>
      <c r="G559" s="37"/>
      <c r="H559" s="40"/>
      <c r="I559" s="37"/>
      <c r="J559" s="37"/>
    </row>
    <row r="560" spans="1:10">
      <c r="A560" s="134"/>
      <c r="E560" s="37"/>
      <c r="F560" s="37"/>
      <c r="G560" s="37"/>
      <c r="H560" s="37"/>
      <c r="I560" s="37"/>
      <c r="J560" s="37"/>
    </row>
    <row r="561" spans="1:10">
      <c r="A561" s="134"/>
      <c r="E561" s="37"/>
      <c r="F561" s="37"/>
      <c r="G561" s="37"/>
      <c r="H561" s="37"/>
      <c r="I561" s="37"/>
      <c r="J561" s="37"/>
    </row>
    <row r="562" spans="1:10">
      <c r="A562" s="134"/>
      <c r="E562" s="37"/>
      <c r="F562" s="37"/>
      <c r="G562" s="37"/>
      <c r="H562" s="37"/>
      <c r="I562" s="37"/>
      <c r="J562" s="37"/>
    </row>
    <row r="563" spans="1:10">
      <c r="A563" s="134"/>
      <c r="E563" s="40"/>
      <c r="F563" s="37"/>
      <c r="G563" s="37"/>
      <c r="H563" s="40"/>
      <c r="I563" s="37"/>
      <c r="J563" s="40"/>
    </row>
    <row r="564" spans="1:10">
      <c r="A564" s="134"/>
      <c r="E564" s="37"/>
      <c r="F564" s="37"/>
      <c r="G564" s="37"/>
      <c r="H564" s="37"/>
      <c r="I564" s="37"/>
      <c r="J564" s="37"/>
    </row>
    <row r="565" spans="1:10">
      <c r="A565" s="134"/>
      <c r="E565" s="37"/>
      <c r="F565" s="37"/>
      <c r="G565" s="37"/>
      <c r="H565" s="40"/>
      <c r="I565" s="37"/>
      <c r="J565" s="37"/>
    </row>
    <row r="566" spans="1:10">
      <c r="A566" s="134"/>
      <c r="E566" s="37"/>
      <c r="F566" s="37"/>
      <c r="G566" s="37"/>
      <c r="H566" s="40"/>
      <c r="I566" s="37"/>
      <c r="J566" s="37"/>
    </row>
    <row r="567" spans="1:10">
      <c r="A567" s="134"/>
      <c r="E567" s="37"/>
      <c r="F567" s="37"/>
      <c r="G567" s="37"/>
      <c r="H567" s="40"/>
      <c r="I567" s="37"/>
      <c r="J567" s="37"/>
    </row>
    <row r="568" spans="1:10">
      <c r="A568" s="134"/>
      <c r="E568" s="37"/>
      <c r="F568" s="37"/>
      <c r="G568" s="37"/>
      <c r="H568" s="37"/>
      <c r="I568" s="37"/>
      <c r="J568" s="37"/>
    </row>
    <row r="569" spans="1:10">
      <c r="A569" s="134"/>
      <c r="E569" s="37"/>
      <c r="F569" s="37"/>
      <c r="G569" s="37"/>
      <c r="H569" s="40"/>
      <c r="I569" s="37"/>
      <c r="J569" s="37"/>
    </row>
    <row r="570" spans="1:10">
      <c r="A570" s="134"/>
      <c r="E570" s="37"/>
      <c r="F570" s="37"/>
      <c r="G570" s="37"/>
      <c r="H570" s="37"/>
      <c r="I570" s="37"/>
      <c r="J570" s="37"/>
    </row>
    <row r="571" spans="1:10">
      <c r="A571" s="134"/>
      <c r="E571" s="37"/>
      <c r="F571" s="37"/>
      <c r="G571" s="37"/>
      <c r="H571" s="40"/>
      <c r="I571" s="37"/>
      <c r="J571" s="37"/>
    </row>
    <row r="572" spans="1:10">
      <c r="A572" s="134"/>
      <c r="E572" s="37"/>
      <c r="F572" s="37"/>
      <c r="G572" s="37"/>
      <c r="H572" s="37"/>
      <c r="I572" s="37"/>
      <c r="J572" s="37"/>
    </row>
    <row r="573" spans="1:10">
      <c r="A573" s="134"/>
      <c r="E573" s="37"/>
      <c r="F573" s="37"/>
      <c r="G573" s="37"/>
      <c r="H573" s="40"/>
      <c r="I573" s="37"/>
      <c r="J573" s="40"/>
    </row>
    <row r="574" spans="1:10">
      <c r="A574" s="134"/>
      <c r="E574" s="37"/>
      <c r="F574" s="37"/>
      <c r="G574" s="37"/>
      <c r="H574" s="37"/>
      <c r="I574" s="37"/>
      <c r="J574" s="37"/>
    </row>
    <row r="575" spans="1:10">
      <c r="A575" s="134"/>
      <c r="E575" s="37"/>
      <c r="F575" s="37"/>
      <c r="G575" s="37"/>
      <c r="H575" s="37"/>
      <c r="I575" s="37"/>
      <c r="J575" s="37"/>
    </row>
    <row r="576" spans="1:10">
      <c r="A576" s="134"/>
      <c r="E576" s="37"/>
      <c r="F576" s="37"/>
      <c r="G576" s="37"/>
      <c r="H576" s="40"/>
      <c r="I576" s="37"/>
      <c r="J576" s="37"/>
    </row>
    <row r="577" spans="1:10">
      <c r="A577" s="134"/>
      <c r="E577" s="37"/>
      <c r="F577" s="37"/>
      <c r="G577" s="37"/>
      <c r="H577" s="40"/>
      <c r="I577" s="37"/>
      <c r="J577" s="37"/>
    </row>
    <row r="578" spans="1:10">
      <c r="A578" s="134"/>
      <c r="E578" s="37"/>
      <c r="F578" s="37"/>
      <c r="G578" s="37"/>
      <c r="H578" s="40"/>
      <c r="I578" s="37"/>
      <c r="J578" s="37"/>
    </row>
    <row r="579" spans="1:10">
      <c r="A579" s="134"/>
      <c r="E579" s="37"/>
      <c r="F579" s="37"/>
      <c r="G579" s="37"/>
      <c r="H579" s="40"/>
      <c r="I579" s="37"/>
      <c r="J579" s="37"/>
    </row>
    <row r="580" spans="1:10">
      <c r="A580" s="134"/>
      <c r="E580" s="37"/>
      <c r="F580" s="37"/>
      <c r="G580" s="37"/>
      <c r="H580" s="40"/>
      <c r="I580" s="37"/>
      <c r="J580" s="37"/>
    </row>
    <row r="581" spans="1:10">
      <c r="A581" s="134"/>
      <c r="E581" s="37"/>
      <c r="F581" s="37"/>
      <c r="G581" s="37"/>
      <c r="H581" s="40"/>
      <c r="I581" s="37"/>
      <c r="J581" s="40"/>
    </row>
    <row r="582" spans="1:10">
      <c r="A582" s="134"/>
      <c r="E582" s="37"/>
      <c r="F582" s="37"/>
      <c r="G582" s="37"/>
      <c r="H582" s="40"/>
      <c r="I582" s="37"/>
      <c r="J582" s="37"/>
    </row>
    <row r="583" spans="1:10">
      <c r="A583" s="134"/>
      <c r="E583" s="37"/>
      <c r="F583" s="37"/>
      <c r="G583" s="37"/>
      <c r="H583" s="40"/>
      <c r="I583" s="37"/>
      <c r="J583" s="37"/>
    </row>
    <row r="584" spans="1:10">
      <c r="A584" s="134"/>
      <c r="E584" s="37"/>
      <c r="F584" s="37"/>
      <c r="G584" s="37"/>
      <c r="H584" s="37"/>
      <c r="I584" s="37"/>
      <c r="J584" s="40"/>
    </row>
    <row r="585" spans="1:10">
      <c r="A585" s="134"/>
      <c r="E585" s="37"/>
      <c r="F585" s="37"/>
      <c r="G585" s="37"/>
      <c r="H585" s="37"/>
      <c r="I585" s="37"/>
      <c r="J585" s="37"/>
    </row>
    <row r="586" spans="1:10">
      <c r="A586" s="134"/>
      <c r="E586" s="37"/>
      <c r="F586" s="37"/>
      <c r="G586" s="37"/>
      <c r="H586" s="37"/>
      <c r="I586" s="37"/>
      <c r="J586" s="37"/>
    </row>
    <row r="587" spans="1:10">
      <c r="A587" s="134"/>
      <c r="E587" s="40"/>
      <c r="F587" s="37"/>
      <c r="G587" s="37"/>
      <c r="H587" s="37"/>
      <c r="I587" s="37"/>
      <c r="J587" s="37"/>
    </row>
    <row r="588" spans="1:10">
      <c r="A588" s="134"/>
      <c r="E588" s="37"/>
      <c r="F588" s="37"/>
      <c r="G588" s="37"/>
      <c r="H588" s="37"/>
      <c r="I588" s="37"/>
      <c r="J588" s="37"/>
    </row>
    <row r="589" spans="1:10">
      <c r="A589" s="134"/>
      <c r="E589" s="37"/>
      <c r="F589" s="37"/>
      <c r="G589" s="37"/>
      <c r="H589" s="37"/>
      <c r="I589" s="37"/>
      <c r="J589" s="37"/>
    </row>
    <row r="590" spans="1:10">
      <c r="A590" s="134"/>
      <c r="E590" s="40"/>
      <c r="F590" s="37"/>
      <c r="G590" s="37"/>
      <c r="H590" s="40"/>
      <c r="I590" s="37"/>
      <c r="J590" s="37"/>
    </row>
    <row r="591" spans="1:10">
      <c r="A591" s="134"/>
      <c r="E591" s="37"/>
      <c r="F591" s="37"/>
      <c r="G591" s="37"/>
      <c r="H591" s="37"/>
      <c r="I591" s="37"/>
      <c r="J591" s="37"/>
    </row>
    <row r="592" spans="1:10">
      <c r="E592" s="37"/>
      <c r="F592" s="37"/>
      <c r="G592" s="37"/>
      <c r="H592" s="37"/>
      <c r="I592" s="37"/>
      <c r="J592" s="37"/>
    </row>
    <row r="593" spans="5:10">
      <c r="E593" s="37"/>
      <c r="F593" s="37"/>
      <c r="G593" s="37"/>
      <c r="H593" s="37"/>
      <c r="I593" s="37"/>
      <c r="J593" s="37"/>
    </row>
    <row r="594" spans="5:10">
      <c r="E594" s="37"/>
      <c r="F594" s="37"/>
      <c r="G594" s="37"/>
      <c r="H594" s="37"/>
      <c r="I594" s="37"/>
      <c r="J594" s="37"/>
    </row>
    <row r="595" spans="5:10">
      <c r="E595" s="37"/>
      <c r="F595" s="37"/>
      <c r="G595" s="37"/>
      <c r="H595" s="37"/>
      <c r="I595" s="37"/>
      <c r="J595" s="37"/>
    </row>
    <row r="596" spans="5:10">
      <c r="E596" s="40"/>
      <c r="F596" s="37"/>
      <c r="G596" s="37"/>
      <c r="H596" s="40"/>
      <c r="I596" s="37"/>
      <c r="J596" s="37"/>
    </row>
    <row r="597" spans="5:10">
      <c r="E597" s="40"/>
      <c r="F597" s="37"/>
      <c r="G597" s="37"/>
      <c r="H597" s="37"/>
      <c r="I597" s="37"/>
      <c r="J597" s="37"/>
    </row>
    <row r="598" spans="5:10">
      <c r="E598" s="37"/>
      <c r="F598" s="37"/>
      <c r="G598" s="37"/>
      <c r="H598" s="37"/>
      <c r="I598" s="37"/>
      <c r="J598" s="37"/>
    </row>
    <row r="599" spans="5:10">
      <c r="E599" s="37"/>
      <c r="F599" s="37"/>
      <c r="G599" s="37"/>
      <c r="H599" s="37"/>
      <c r="I599" s="37"/>
      <c r="J599" s="37"/>
    </row>
    <row r="600" spans="5:10">
      <c r="E600" s="37"/>
      <c r="F600" s="37"/>
      <c r="G600" s="37"/>
      <c r="H600" s="37"/>
      <c r="I600" s="37"/>
      <c r="J600" s="37"/>
    </row>
    <row r="601" spans="5:10">
      <c r="E601" s="37"/>
      <c r="F601" s="37"/>
      <c r="G601" s="37"/>
      <c r="H601" s="37"/>
      <c r="I601" s="37"/>
      <c r="J601" s="37"/>
    </row>
    <row r="602" spans="5:10">
      <c r="E602" s="37"/>
      <c r="F602" s="37"/>
      <c r="G602" s="37"/>
      <c r="H602" s="37"/>
      <c r="I602" s="37"/>
      <c r="J602" s="37"/>
    </row>
    <row r="603" spans="5:10">
      <c r="E603" s="37"/>
      <c r="F603" s="37"/>
      <c r="G603" s="37"/>
      <c r="H603" s="40"/>
      <c r="I603" s="37"/>
      <c r="J603" s="37"/>
    </row>
    <row r="604" spans="5:10">
      <c r="E604" s="37"/>
      <c r="F604" s="37"/>
      <c r="G604" s="37"/>
      <c r="H604" s="37"/>
      <c r="I604" s="37"/>
      <c r="J604" s="37"/>
    </row>
    <row r="605" spans="5:10">
      <c r="E605" s="37"/>
      <c r="F605" s="37"/>
      <c r="G605" s="37"/>
      <c r="H605" s="40"/>
      <c r="I605" s="37"/>
      <c r="J605" s="37"/>
    </row>
    <row r="606" spans="5:10">
      <c r="E606" s="37"/>
      <c r="F606" s="37"/>
      <c r="G606" s="37"/>
      <c r="H606" s="40"/>
      <c r="I606" s="37"/>
      <c r="J606" s="37"/>
    </row>
    <row r="607" spans="5:10">
      <c r="E607" s="37"/>
      <c r="F607" s="37"/>
      <c r="G607" s="37"/>
      <c r="H607" s="40"/>
      <c r="I607" s="37"/>
      <c r="J607" s="37"/>
    </row>
    <row r="608" spans="5:10">
      <c r="E608" s="37"/>
      <c r="F608" s="37"/>
      <c r="G608" s="37"/>
      <c r="H608" s="37"/>
      <c r="I608" s="37"/>
      <c r="J608" s="37"/>
    </row>
    <row r="609" spans="5:10">
      <c r="E609" s="37"/>
      <c r="F609" s="37"/>
      <c r="G609" s="37"/>
      <c r="H609" s="37"/>
      <c r="I609" s="37"/>
      <c r="J609" s="37"/>
    </row>
    <row r="610" spans="5:10">
      <c r="E610" s="37"/>
      <c r="F610" s="37"/>
      <c r="G610" s="37"/>
      <c r="H610" s="40"/>
      <c r="I610" s="37"/>
      <c r="J610" s="37"/>
    </row>
    <row r="611" spans="5:10">
      <c r="E611" s="37"/>
      <c r="F611" s="37"/>
      <c r="G611" s="37"/>
      <c r="H611" s="40"/>
      <c r="I611" s="37"/>
      <c r="J611" s="37"/>
    </row>
    <row r="612" spans="5:10">
      <c r="E612" s="37"/>
      <c r="F612" s="37"/>
      <c r="G612" s="37"/>
      <c r="H612" s="37"/>
      <c r="I612" s="37"/>
      <c r="J612" s="37"/>
    </row>
    <row r="613" spans="5:10">
      <c r="E613" s="37"/>
      <c r="F613" s="37"/>
      <c r="G613" s="37"/>
      <c r="H613" s="37"/>
      <c r="I613" s="37"/>
      <c r="J613" s="37"/>
    </row>
    <row r="614" spans="5:10">
      <c r="E614" s="37"/>
      <c r="F614" s="37"/>
      <c r="G614" s="37"/>
      <c r="H614" s="37"/>
      <c r="I614" s="37"/>
      <c r="J614" s="37"/>
    </row>
    <row r="615" spans="5:10">
      <c r="E615" s="37"/>
      <c r="F615" s="37"/>
      <c r="G615" s="37"/>
      <c r="H615" s="37"/>
      <c r="I615" s="37"/>
      <c r="J615" s="37"/>
    </row>
    <row r="616" spans="5:10">
      <c r="E616" s="37"/>
      <c r="F616" s="37"/>
      <c r="G616" s="37"/>
      <c r="H616" s="40"/>
      <c r="I616" s="37"/>
      <c r="J616" s="37"/>
    </row>
    <row r="617" spans="5:10">
      <c r="E617" s="37"/>
      <c r="F617" s="37"/>
      <c r="G617" s="37"/>
      <c r="H617" s="40"/>
      <c r="I617" s="37"/>
      <c r="J617" s="37"/>
    </row>
    <row r="618" spans="5:10">
      <c r="E618" s="37"/>
      <c r="F618" s="37"/>
      <c r="G618" s="37"/>
      <c r="H618" s="37"/>
      <c r="I618" s="37"/>
      <c r="J618" s="37"/>
    </row>
    <row r="619" spans="5:10">
      <c r="E619" s="37"/>
      <c r="F619" s="37"/>
      <c r="G619" s="37"/>
      <c r="H619" s="37"/>
      <c r="I619" s="37"/>
      <c r="J619" s="37"/>
    </row>
    <row r="620" spans="5:10">
      <c r="E620" s="37"/>
      <c r="F620" s="37"/>
      <c r="G620" s="37"/>
      <c r="H620" s="40"/>
      <c r="I620" s="37"/>
      <c r="J620" s="37"/>
    </row>
    <row r="621" spans="5:10">
      <c r="E621" s="37"/>
      <c r="F621" s="37"/>
      <c r="G621" s="37"/>
      <c r="H621" s="40"/>
      <c r="I621" s="37"/>
      <c r="J621" s="37"/>
    </row>
    <row r="622" spans="5:10">
      <c r="E622" s="37"/>
      <c r="F622" s="37"/>
      <c r="G622" s="37"/>
      <c r="H622" s="40"/>
      <c r="I622" s="37"/>
      <c r="J622" s="40"/>
    </row>
    <row r="623" spans="5:10">
      <c r="E623" s="37"/>
      <c r="F623" s="37"/>
      <c r="G623" s="37"/>
      <c r="H623" s="40"/>
      <c r="I623" s="37"/>
      <c r="J623" s="37"/>
    </row>
    <row r="624" spans="5:10">
      <c r="E624" s="37"/>
      <c r="F624" s="37"/>
      <c r="G624" s="37"/>
      <c r="H624" s="37"/>
      <c r="I624" s="37"/>
      <c r="J624" s="37"/>
    </row>
    <row r="625" spans="5:10">
      <c r="E625" s="37"/>
      <c r="F625" s="37"/>
      <c r="G625" s="37"/>
      <c r="H625" s="40"/>
      <c r="I625" s="37"/>
      <c r="J625" s="40"/>
    </row>
    <row r="626" spans="5:10">
      <c r="E626" s="37"/>
      <c r="F626" s="37"/>
      <c r="G626" s="37"/>
      <c r="H626" s="40"/>
      <c r="I626" s="37"/>
      <c r="J626" s="37"/>
    </row>
    <row r="627" spans="5:10">
      <c r="E627" s="37"/>
      <c r="F627" s="37"/>
      <c r="G627" s="37"/>
      <c r="H627" s="40"/>
      <c r="I627" s="37"/>
      <c r="J627" s="37"/>
    </row>
    <row r="628" spans="5:10">
      <c r="E628" s="37"/>
      <c r="F628" s="37"/>
      <c r="G628" s="37"/>
      <c r="H628" s="37"/>
      <c r="I628" s="37"/>
      <c r="J628" s="37"/>
    </row>
    <row r="629" spans="5:10">
      <c r="E629" s="37"/>
      <c r="F629" s="37"/>
      <c r="G629" s="37"/>
      <c r="H629" s="40"/>
      <c r="I629" s="37"/>
      <c r="J629" s="37"/>
    </row>
    <row r="630" spans="5:10">
      <c r="E630" s="37"/>
      <c r="F630" s="37"/>
      <c r="G630" s="37"/>
      <c r="H630" s="40"/>
      <c r="I630" s="37"/>
      <c r="J630" s="37"/>
    </row>
    <row r="631" spans="5:10">
      <c r="E631" s="37"/>
      <c r="F631" s="37"/>
      <c r="G631" s="37"/>
      <c r="H631" s="40"/>
      <c r="I631" s="37"/>
      <c r="J631" s="37"/>
    </row>
    <row r="632" spans="5:10">
      <c r="E632" s="37"/>
      <c r="F632" s="37"/>
      <c r="G632" s="37"/>
      <c r="H632" s="40"/>
      <c r="I632" s="37"/>
      <c r="J632" s="37"/>
    </row>
    <row r="633" spans="5:10">
      <c r="E633" s="37"/>
      <c r="F633" s="37"/>
      <c r="G633" s="37"/>
      <c r="H633" s="40"/>
      <c r="I633" s="37"/>
      <c r="J633" s="37"/>
    </row>
    <row r="634" spans="5:10">
      <c r="E634" s="37"/>
      <c r="F634" s="37"/>
      <c r="G634" s="37"/>
      <c r="H634" s="40"/>
      <c r="I634" s="37"/>
      <c r="J634" s="40"/>
    </row>
    <row r="635" spans="5:10">
      <c r="E635" s="37"/>
      <c r="F635" s="37"/>
      <c r="G635" s="37"/>
      <c r="H635" s="37"/>
      <c r="I635" s="37"/>
      <c r="J635" s="37"/>
    </row>
    <row r="636" spans="5:10">
      <c r="E636" s="37"/>
      <c r="F636" s="37"/>
      <c r="G636" s="37"/>
      <c r="H636" s="40"/>
      <c r="I636" s="37"/>
      <c r="J636" s="37"/>
    </row>
    <row r="637" spans="5:10">
      <c r="E637" s="37"/>
      <c r="F637" s="37"/>
      <c r="G637" s="37"/>
      <c r="H637" s="37"/>
      <c r="I637" s="37"/>
      <c r="J637" s="37"/>
    </row>
    <row r="638" spans="5:10">
      <c r="E638" s="37"/>
      <c r="F638" s="37"/>
      <c r="G638" s="37"/>
      <c r="H638" s="37"/>
      <c r="I638" s="37"/>
      <c r="J638" s="37"/>
    </row>
    <row r="639" spans="5:10">
      <c r="E639" s="40"/>
      <c r="F639" s="37"/>
      <c r="G639" s="37"/>
      <c r="H639" s="40"/>
      <c r="I639" s="37"/>
      <c r="J639" s="37"/>
    </row>
    <row r="640" spans="5:10">
      <c r="E640" s="37"/>
      <c r="F640" s="37"/>
      <c r="G640" s="37"/>
      <c r="H640" s="37"/>
      <c r="I640" s="37"/>
      <c r="J640" s="37"/>
    </row>
    <row r="641" spans="5:10">
      <c r="E641" s="37"/>
      <c r="F641" s="37"/>
      <c r="G641" s="37"/>
      <c r="H641" s="37"/>
      <c r="I641" s="37"/>
      <c r="J641" s="37"/>
    </row>
    <row r="642" spans="5:10">
      <c r="E642" s="37"/>
      <c r="F642" s="37"/>
      <c r="G642" s="37"/>
      <c r="H642" s="40"/>
      <c r="I642" s="37"/>
      <c r="J642" s="37"/>
    </row>
    <row r="643" spans="5:10">
      <c r="E643" s="37"/>
      <c r="F643" s="37"/>
      <c r="G643" s="37"/>
      <c r="H643" s="37"/>
      <c r="I643" s="37"/>
      <c r="J643" s="37"/>
    </row>
    <row r="644" spans="5:10">
      <c r="E644" s="37"/>
      <c r="F644" s="37"/>
      <c r="G644" s="37"/>
      <c r="H644" s="37"/>
      <c r="I644" s="37"/>
      <c r="J644" s="37"/>
    </row>
    <row r="645" spans="5:10">
      <c r="E645" s="37"/>
      <c r="F645" s="37"/>
      <c r="G645" s="37"/>
      <c r="H645" s="40"/>
      <c r="I645" s="37"/>
      <c r="J645" s="37"/>
    </row>
    <row r="646" spans="5:10">
      <c r="E646" s="37"/>
      <c r="F646" s="37"/>
      <c r="G646" s="37"/>
      <c r="H646" s="40"/>
      <c r="I646" s="37"/>
      <c r="J646" s="40"/>
    </row>
    <row r="647" spans="5:10">
      <c r="E647" s="37"/>
      <c r="F647" s="37"/>
      <c r="G647" s="37"/>
      <c r="H647" s="37"/>
      <c r="I647" s="37"/>
      <c r="J647" s="37"/>
    </row>
    <row r="648" spans="5:10">
      <c r="E648" s="37"/>
      <c r="F648" s="37"/>
      <c r="G648" s="37"/>
      <c r="H648" s="37"/>
      <c r="I648" s="37"/>
      <c r="J648" s="37"/>
    </row>
    <row r="649" spans="5:10">
      <c r="E649" s="37"/>
      <c r="F649" s="37"/>
      <c r="G649" s="37"/>
      <c r="H649" s="37"/>
      <c r="I649" s="37"/>
      <c r="J649" s="37"/>
    </row>
    <row r="650" spans="5:10">
      <c r="E650" s="37"/>
      <c r="F650" s="37"/>
      <c r="G650" s="37"/>
      <c r="H650" s="37"/>
      <c r="I650" s="37"/>
      <c r="J650" s="37"/>
    </row>
    <row r="651" spans="5:10">
      <c r="E651" s="37"/>
      <c r="F651" s="37"/>
      <c r="G651" s="37"/>
      <c r="H651" s="37"/>
      <c r="I651" s="37"/>
      <c r="J651" s="37"/>
    </row>
    <row r="652" spans="5:10">
      <c r="E652" s="37"/>
      <c r="F652" s="37"/>
      <c r="G652" s="37"/>
      <c r="H652" s="37"/>
      <c r="I652" s="37"/>
      <c r="J652" s="37"/>
    </row>
    <row r="653" spans="5:10">
      <c r="E653" s="37"/>
      <c r="F653" s="37"/>
      <c r="G653" s="37"/>
      <c r="H653" s="37"/>
      <c r="I653" s="37"/>
      <c r="J653" s="37"/>
    </row>
    <row r="654" spans="5:10">
      <c r="E654" s="37"/>
      <c r="F654" s="37"/>
      <c r="G654" s="37"/>
      <c r="H654" s="37"/>
      <c r="I654" s="37"/>
      <c r="J654" s="37"/>
    </row>
    <row r="655" spans="5:10">
      <c r="E655" s="37"/>
      <c r="F655" s="37"/>
      <c r="G655" s="37"/>
      <c r="H655" s="37"/>
      <c r="I655" s="37"/>
      <c r="J655" s="37"/>
    </row>
    <row r="656" spans="5:10">
      <c r="E656" s="37"/>
      <c r="F656" s="37"/>
      <c r="G656" s="37"/>
      <c r="H656" s="37"/>
      <c r="I656" s="37"/>
      <c r="J656" s="37"/>
    </row>
    <row r="657" spans="5:10">
      <c r="E657" s="37"/>
      <c r="F657" s="37"/>
      <c r="G657" s="37"/>
      <c r="H657" s="37"/>
      <c r="I657" s="37"/>
      <c r="J657" s="37"/>
    </row>
    <row r="658" spans="5:10">
      <c r="E658" s="37"/>
      <c r="F658" s="37"/>
      <c r="G658" s="37"/>
      <c r="H658" s="37"/>
      <c r="I658" s="37"/>
      <c r="J658" s="37"/>
    </row>
    <row r="659" spans="5:10">
      <c r="E659" s="37"/>
      <c r="F659" s="37"/>
      <c r="G659" s="37"/>
      <c r="H659" s="40"/>
      <c r="I659" s="37"/>
      <c r="J659" s="37"/>
    </row>
    <row r="660" spans="5:10">
      <c r="E660" s="37"/>
      <c r="F660" s="37"/>
      <c r="G660" s="37"/>
      <c r="H660" s="37"/>
      <c r="I660" s="37"/>
      <c r="J660" s="37"/>
    </row>
    <row r="661" spans="5:10">
      <c r="E661" s="37"/>
      <c r="F661" s="37"/>
      <c r="G661" s="37"/>
      <c r="H661" s="37"/>
      <c r="I661" s="37"/>
      <c r="J661" s="37"/>
    </row>
    <row r="662" spans="5:10">
      <c r="E662" s="37"/>
      <c r="F662" s="37"/>
      <c r="G662" s="37"/>
      <c r="H662" s="37"/>
      <c r="I662" s="37"/>
      <c r="J662" s="37"/>
    </row>
    <row r="663" spans="5:10">
      <c r="E663" s="37"/>
      <c r="F663" s="37"/>
      <c r="G663" s="37"/>
      <c r="H663" s="37"/>
      <c r="I663" s="37"/>
      <c r="J663" s="37"/>
    </row>
    <row r="664" spans="5:10">
      <c r="E664" s="37"/>
      <c r="F664" s="37"/>
      <c r="G664" s="37"/>
      <c r="H664" s="37"/>
      <c r="I664" s="37"/>
      <c r="J664" s="37"/>
    </row>
    <row r="665" spans="5:10">
      <c r="E665" s="37"/>
      <c r="F665" s="37"/>
      <c r="G665" s="37"/>
      <c r="H665" s="37"/>
      <c r="I665" s="37"/>
      <c r="J665" s="37"/>
    </row>
    <row r="666" spans="5:10">
      <c r="E666" s="37"/>
      <c r="F666" s="37"/>
      <c r="G666" s="37"/>
      <c r="H666" s="40"/>
      <c r="I666" s="37"/>
      <c r="J666" s="37"/>
    </row>
    <row r="667" spans="5:10">
      <c r="E667" s="40"/>
      <c r="F667" s="37"/>
      <c r="G667" s="37"/>
      <c r="H667" s="40"/>
      <c r="I667" s="37"/>
      <c r="J667" s="37"/>
    </row>
    <row r="668" spans="5:10">
      <c r="E668" s="37"/>
      <c r="F668" s="37"/>
      <c r="G668" s="37"/>
      <c r="H668" s="37"/>
      <c r="I668" s="37"/>
      <c r="J668" s="37"/>
    </row>
    <row r="669" spans="5:10">
      <c r="E669" s="37"/>
      <c r="F669" s="37"/>
      <c r="G669" s="37"/>
      <c r="H669" s="40"/>
      <c r="I669" s="37"/>
      <c r="J669" s="37"/>
    </row>
    <row r="670" spans="5:10">
      <c r="E670" s="37"/>
      <c r="F670" s="37"/>
      <c r="G670" s="37"/>
      <c r="H670" s="40"/>
      <c r="I670" s="37"/>
      <c r="J670" s="37"/>
    </row>
    <row r="671" spans="5:10">
      <c r="E671" s="37"/>
      <c r="F671" s="37"/>
      <c r="G671" s="37"/>
      <c r="H671" s="37"/>
      <c r="I671" s="37"/>
      <c r="J671" s="37"/>
    </row>
    <row r="672" spans="5:10">
      <c r="E672" s="37"/>
      <c r="F672" s="37"/>
      <c r="G672" s="37"/>
      <c r="H672" s="40"/>
      <c r="I672" s="37"/>
      <c r="J672" s="37"/>
    </row>
    <row r="673" spans="5:10">
      <c r="E673" s="37"/>
      <c r="F673" s="37"/>
      <c r="G673" s="37"/>
      <c r="H673" s="40"/>
      <c r="I673" s="37"/>
      <c r="J673" s="37"/>
    </row>
    <row r="674" spans="5:10">
      <c r="E674" s="37"/>
      <c r="F674" s="37"/>
      <c r="G674" s="37"/>
      <c r="H674" s="37"/>
      <c r="I674" s="37"/>
      <c r="J674" s="37"/>
    </row>
    <row r="675" spans="5:10">
      <c r="E675" s="37"/>
      <c r="F675" s="37"/>
      <c r="G675" s="37"/>
      <c r="H675" s="40"/>
      <c r="I675" s="37"/>
      <c r="J675" s="37"/>
    </row>
    <row r="676" spans="5:10">
      <c r="E676" s="37"/>
      <c r="F676" s="37"/>
      <c r="G676" s="37"/>
      <c r="H676" s="37"/>
      <c r="I676" s="37"/>
      <c r="J676" s="37"/>
    </row>
    <row r="677" spans="5:10">
      <c r="E677" s="37"/>
      <c r="F677" s="37"/>
      <c r="G677" s="37"/>
      <c r="H677" s="37"/>
      <c r="I677" s="37"/>
      <c r="J677" s="37"/>
    </row>
    <row r="678" spans="5:10">
      <c r="E678" s="37"/>
      <c r="F678" s="37"/>
      <c r="G678" s="37"/>
      <c r="H678" s="40"/>
      <c r="I678" s="37"/>
      <c r="J678" s="37"/>
    </row>
    <row r="679" spans="5:10">
      <c r="E679" s="37"/>
      <c r="F679" s="37"/>
      <c r="G679" s="37"/>
      <c r="H679" s="37"/>
      <c r="I679" s="37"/>
      <c r="J679" s="37"/>
    </row>
    <row r="680" spans="5:10">
      <c r="E680" s="37"/>
      <c r="F680" s="37"/>
      <c r="G680" s="37"/>
      <c r="H680" s="40"/>
      <c r="I680" s="37"/>
      <c r="J680" s="37"/>
    </row>
    <row r="681" spans="5:10">
      <c r="E681" s="37"/>
      <c r="F681" s="37"/>
      <c r="G681" s="37"/>
      <c r="H681" s="40"/>
      <c r="I681" s="37"/>
      <c r="J681" s="37"/>
    </row>
    <row r="682" spans="5:10">
      <c r="E682" s="37"/>
      <c r="F682" s="37"/>
      <c r="G682" s="37"/>
      <c r="H682" s="40"/>
      <c r="I682" s="37"/>
      <c r="J682" s="37"/>
    </row>
    <row r="683" spans="5:10">
      <c r="E683" s="37"/>
      <c r="F683" s="37"/>
      <c r="G683" s="37"/>
      <c r="H683" s="37"/>
      <c r="I683" s="37"/>
      <c r="J683" s="37"/>
    </row>
    <row r="684" spans="5:10">
      <c r="E684" s="37"/>
      <c r="F684" s="37"/>
      <c r="G684" s="37"/>
      <c r="H684" s="40"/>
      <c r="I684" s="37"/>
      <c r="J684" s="37"/>
    </row>
    <row r="685" spans="5:10">
      <c r="E685" s="37"/>
      <c r="F685" s="37"/>
      <c r="G685" s="37"/>
      <c r="H685" s="40"/>
      <c r="I685" s="37"/>
      <c r="J685" s="40"/>
    </row>
    <row r="686" spans="5:10">
      <c r="E686" s="37"/>
      <c r="F686" s="37"/>
      <c r="G686" s="37"/>
      <c r="H686" s="37"/>
      <c r="I686" s="37"/>
      <c r="J686" s="37"/>
    </row>
    <row r="687" spans="5:10">
      <c r="E687" s="37"/>
      <c r="F687" s="37"/>
      <c r="G687" s="37"/>
      <c r="H687" s="40"/>
      <c r="I687" s="37"/>
      <c r="J687" s="37"/>
    </row>
    <row r="688" spans="5:10">
      <c r="E688" s="37"/>
      <c r="F688" s="37"/>
      <c r="G688" s="37"/>
      <c r="H688" s="40"/>
      <c r="I688" s="37"/>
      <c r="J688" s="37"/>
    </row>
    <row r="689" spans="5:10">
      <c r="E689" s="37"/>
      <c r="F689" s="37"/>
      <c r="G689" s="37"/>
      <c r="H689" s="37"/>
      <c r="I689" s="37"/>
      <c r="J689" s="37"/>
    </row>
    <row r="690" spans="5:10">
      <c r="E690" s="37"/>
      <c r="F690" s="37"/>
      <c r="G690" s="37"/>
      <c r="H690" s="37"/>
      <c r="I690" s="37"/>
      <c r="J690" s="37"/>
    </row>
    <row r="691" spans="5:10">
      <c r="E691" s="40"/>
      <c r="F691" s="37"/>
      <c r="G691" s="37"/>
      <c r="H691" s="37"/>
      <c r="I691" s="37"/>
      <c r="J691" s="37"/>
    </row>
    <row r="692" spans="5:10">
      <c r="E692" s="37"/>
      <c r="F692" s="37"/>
      <c r="G692" s="37"/>
      <c r="H692" s="37"/>
      <c r="I692" s="37"/>
      <c r="J692" s="37"/>
    </row>
    <row r="693" spans="5:10">
      <c r="E693" s="37"/>
      <c r="F693" s="37"/>
      <c r="G693" s="37"/>
      <c r="H693" s="37"/>
      <c r="I693" s="37"/>
      <c r="J693" s="37"/>
    </row>
    <row r="694" spans="5:10">
      <c r="E694" s="37"/>
      <c r="F694" s="37"/>
      <c r="G694" s="37"/>
      <c r="H694" s="40"/>
      <c r="I694" s="37"/>
      <c r="J694" s="37"/>
    </row>
    <row r="695" spans="5:10">
      <c r="E695" s="37"/>
      <c r="F695" s="37"/>
      <c r="G695" s="37"/>
      <c r="H695" s="40"/>
      <c r="I695" s="37"/>
      <c r="J695" s="37"/>
    </row>
    <row r="696" spans="5:10">
      <c r="E696" s="37"/>
      <c r="F696" s="37"/>
      <c r="G696" s="37"/>
      <c r="H696" s="37"/>
      <c r="I696" s="37"/>
      <c r="J696" s="37"/>
    </row>
    <row r="697" spans="5:10">
      <c r="E697" s="37"/>
      <c r="F697" s="37"/>
      <c r="G697" s="37"/>
      <c r="H697" s="37"/>
      <c r="I697" s="37"/>
      <c r="J697" s="37"/>
    </row>
    <row r="698" spans="5:10">
      <c r="E698" s="37"/>
      <c r="F698" s="37"/>
      <c r="G698" s="37"/>
      <c r="H698" s="40"/>
      <c r="I698" s="37"/>
      <c r="J698" s="37"/>
    </row>
    <row r="699" spans="5:10">
      <c r="E699" s="37"/>
      <c r="F699" s="37"/>
      <c r="G699" s="37"/>
      <c r="H699" s="37"/>
      <c r="I699" s="37"/>
      <c r="J699" s="37"/>
    </row>
    <row r="700" spans="5:10">
      <c r="E700" s="37"/>
      <c r="F700" s="37"/>
      <c r="G700" s="37"/>
      <c r="H700" s="40"/>
      <c r="I700" s="37"/>
      <c r="J700" s="37"/>
    </row>
    <row r="701" spans="5:10">
      <c r="E701" s="37"/>
      <c r="F701" s="37"/>
      <c r="G701" s="37"/>
      <c r="H701" s="37"/>
      <c r="I701" s="37"/>
      <c r="J701" s="37"/>
    </row>
    <row r="702" spans="5:10">
      <c r="E702" s="37"/>
      <c r="F702" s="37"/>
      <c r="G702" s="37"/>
      <c r="H702" s="37"/>
      <c r="I702" s="37"/>
      <c r="J702" s="37"/>
    </row>
    <row r="703" spans="5:10">
      <c r="E703" s="37"/>
      <c r="F703" s="37"/>
      <c r="G703" s="37"/>
      <c r="H703" s="37"/>
      <c r="I703" s="37"/>
      <c r="J703" s="37"/>
    </row>
    <row r="704" spans="5:10">
      <c r="E704" s="37"/>
      <c r="F704" s="37"/>
      <c r="G704" s="37"/>
      <c r="H704" s="37"/>
      <c r="I704" s="37"/>
      <c r="J704" s="37"/>
    </row>
    <row r="705" spans="5:10">
      <c r="E705" s="37"/>
      <c r="F705" s="37"/>
      <c r="G705" s="37"/>
      <c r="H705" s="37"/>
      <c r="I705" s="37"/>
      <c r="J705" s="37"/>
    </row>
    <row r="706" spans="5:10">
      <c r="E706" s="37"/>
      <c r="F706" s="37"/>
      <c r="G706" s="37"/>
      <c r="H706" s="37"/>
      <c r="I706" s="37"/>
      <c r="J706" s="37"/>
    </row>
    <row r="707" spans="5:10">
      <c r="E707" s="37"/>
      <c r="F707" s="37"/>
      <c r="G707" s="37"/>
      <c r="H707" s="37"/>
      <c r="I707" s="37"/>
      <c r="J707" s="37"/>
    </row>
    <row r="708" spans="5:10">
      <c r="E708" s="37"/>
      <c r="F708" s="37"/>
      <c r="G708" s="37"/>
      <c r="H708" s="37"/>
      <c r="I708" s="37"/>
      <c r="J708" s="37"/>
    </row>
    <row r="709" spans="5:10">
      <c r="E709" s="37"/>
      <c r="F709" s="37"/>
      <c r="G709" s="37"/>
      <c r="H709" s="37"/>
      <c r="I709" s="37"/>
      <c r="J709" s="37"/>
    </row>
    <row r="710" spans="5:10">
      <c r="E710" s="37"/>
      <c r="F710" s="37"/>
      <c r="G710" s="37"/>
      <c r="H710" s="37"/>
      <c r="I710" s="37"/>
      <c r="J710" s="37"/>
    </row>
    <row r="711" spans="5:10">
      <c r="E711" s="37"/>
      <c r="F711" s="37"/>
      <c r="G711" s="37"/>
      <c r="H711" s="37"/>
      <c r="I711" s="37"/>
      <c r="J711" s="37"/>
    </row>
    <row r="712" spans="5:10">
      <c r="E712" s="37"/>
      <c r="F712" s="37"/>
      <c r="G712" s="37"/>
      <c r="H712" s="37"/>
      <c r="I712" s="37"/>
      <c r="J712" s="37"/>
    </row>
    <row r="713" spans="5:10">
      <c r="E713" s="37"/>
      <c r="F713" s="37"/>
      <c r="G713" s="37"/>
      <c r="H713" s="40"/>
      <c r="I713" s="37"/>
      <c r="J713" s="40"/>
    </row>
    <row r="714" spans="5:10">
      <c r="E714" s="37"/>
      <c r="F714" s="37"/>
      <c r="G714" s="37"/>
      <c r="H714" s="37"/>
      <c r="I714" s="37"/>
      <c r="J714" s="37"/>
    </row>
    <row r="715" spans="5:10">
      <c r="E715" s="37"/>
      <c r="F715" s="37"/>
      <c r="G715" s="37"/>
      <c r="H715" s="37"/>
      <c r="I715" s="37"/>
      <c r="J715" s="37"/>
    </row>
    <row r="716" spans="5:10">
      <c r="E716" s="37"/>
      <c r="F716" s="37"/>
      <c r="G716" s="37"/>
      <c r="H716" s="37"/>
      <c r="I716" s="37"/>
      <c r="J716" s="37"/>
    </row>
    <row r="717" spans="5:10">
      <c r="E717" s="37"/>
      <c r="F717" s="37"/>
      <c r="G717" s="37"/>
      <c r="H717" s="40"/>
      <c r="I717" s="37"/>
      <c r="J717" s="37"/>
    </row>
    <row r="718" spans="5:10">
      <c r="E718" s="37"/>
      <c r="F718" s="37"/>
      <c r="G718" s="37"/>
      <c r="H718" s="40"/>
      <c r="I718" s="37"/>
      <c r="J718" s="40"/>
    </row>
    <row r="719" spans="5:10">
      <c r="E719" s="37"/>
      <c r="F719" s="37"/>
      <c r="G719" s="37"/>
      <c r="H719" s="37"/>
      <c r="I719" s="37"/>
      <c r="J719" s="37"/>
    </row>
    <row r="720" spans="5:10">
      <c r="E720" s="37"/>
      <c r="F720" s="37"/>
      <c r="G720" s="37"/>
      <c r="H720" s="40"/>
      <c r="I720" s="37"/>
      <c r="J720" s="37"/>
    </row>
    <row r="721" spans="5:10">
      <c r="E721" s="37"/>
      <c r="F721" s="37"/>
      <c r="G721" s="37"/>
      <c r="H721" s="37"/>
      <c r="I721" s="37"/>
      <c r="J721" s="37"/>
    </row>
    <row r="722" spans="5:10">
      <c r="E722" s="37"/>
      <c r="F722" s="37"/>
      <c r="G722" s="37"/>
      <c r="H722" s="40"/>
      <c r="I722" s="37"/>
      <c r="J722" s="40"/>
    </row>
    <row r="723" spans="5:10">
      <c r="E723" s="37"/>
      <c r="F723" s="37"/>
      <c r="G723" s="37"/>
      <c r="H723" s="40"/>
      <c r="I723" s="37"/>
      <c r="J723" s="37"/>
    </row>
    <row r="724" spans="5:10">
      <c r="E724" s="37"/>
      <c r="F724" s="37"/>
      <c r="G724" s="37"/>
      <c r="H724" s="40"/>
      <c r="I724" s="37"/>
      <c r="J724" s="37"/>
    </row>
    <row r="725" spans="5:10">
      <c r="E725" s="37"/>
      <c r="F725" s="37"/>
      <c r="G725" s="37"/>
      <c r="H725" s="37"/>
      <c r="I725" s="37"/>
      <c r="J725" s="37"/>
    </row>
    <row r="726" spans="5:10">
      <c r="E726" s="37"/>
      <c r="F726" s="37"/>
      <c r="G726" s="37"/>
      <c r="H726" s="40"/>
      <c r="I726" s="37"/>
      <c r="J726" s="37"/>
    </row>
    <row r="727" spans="5:10">
      <c r="E727" s="37"/>
      <c r="F727" s="37"/>
      <c r="G727" s="37"/>
      <c r="H727" s="37"/>
      <c r="I727" s="37"/>
      <c r="J727" s="37"/>
    </row>
    <row r="728" spans="5:10">
      <c r="E728" s="37"/>
      <c r="F728" s="37"/>
      <c r="G728" s="37"/>
      <c r="H728" s="40"/>
      <c r="I728" s="37"/>
      <c r="J728" s="37"/>
    </row>
    <row r="729" spans="5:10">
      <c r="E729" s="37"/>
      <c r="F729" s="37"/>
      <c r="G729" s="37"/>
      <c r="H729" s="40"/>
      <c r="I729" s="37"/>
      <c r="J729" s="40"/>
    </row>
    <row r="730" spans="5:10">
      <c r="E730" s="37"/>
      <c r="F730" s="37"/>
      <c r="G730" s="37"/>
      <c r="H730" s="37"/>
      <c r="I730" s="37"/>
      <c r="J730" s="37"/>
    </row>
    <row r="731" spans="5:10">
      <c r="E731" s="37"/>
      <c r="F731" s="37"/>
      <c r="G731" s="37"/>
      <c r="H731" s="40"/>
      <c r="I731" s="37"/>
      <c r="J731" s="37"/>
    </row>
    <row r="732" spans="5:10">
      <c r="E732" s="37"/>
      <c r="F732" s="37"/>
      <c r="G732" s="37"/>
      <c r="H732" s="40"/>
      <c r="I732" s="37"/>
      <c r="J732" s="37"/>
    </row>
    <row r="733" spans="5:10">
      <c r="E733" s="40"/>
      <c r="F733" s="37"/>
      <c r="G733" s="37"/>
      <c r="H733" s="40"/>
      <c r="I733" s="37"/>
      <c r="J733" s="37"/>
    </row>
    <row r="734" spans="5:10">
      <c r="E734" s="37"/>
      <c r="F734" s="37"/>
      <c r="G734" s="37"/>
      <c r="H734" s="37"/>
      <c r="I734" s="37"/>
      <c r="J734" s="37"/>
    </row>
    <row r="735" spans="5:10">
      <c r="E735" s="37"/>
      <c r="F735" s="37"/>
      <c r="G735" s="37"/>
      <c r="H735" s="40"/>
      <c r="I735" s="37"/>
      <c r="J735" s="37"/>
    </row>
    <row r="736" spans="5:10">
      <c r="E736" s="37"/>
      <c r="F736" s="37"/>
      <c r="G736" s="37"/>
      <c r="H736" s="40"/>
      <c r="I736" s="37"/>
      <c r="J736" s="40"/>
    </row>
    <row r="737" spans="5:10">
      <c r="E737" s="37"/>
      <c r="F737" s="37"/>
      <c r="G737" s="37"/>
      <c r="H737" s="37"/>
      <c r="I737" s="37"/>
      <c r="J737" s="37"/>
    </row>
    <row r="738" spans="5:10">
      <c r="E738" s="37"/>
      <c r="F738" s="37"/>
      <c r="G738" s="37"/>
      <c r="H738" s="37"/>
      <c r="I738" s="37"/>
      <c r="J738" s="37"/>
    </row>
    <row r="739" spans="5:10">
      <c r="E739" s="37"/>
      <c r="F739" s="37"/>
      <c r="G739" s="37"/>
      <c r="H739" s="40"/>
      <c r="I739" s="37"/>
      <c r="J739" s="37"/>
    </row>
    <row r="740" spans="5:10">
      <c r="E740" s="37"/>
      <c r="F740" s="37"/>
      <c r="G740" s="37"/>
      <c r="H740" s="40"/>
      <c r="I740" s="37"/>
      <c r="J740" s="37"/>
    </row>
    <row r="741" spans="5:10">
      <c r="E741" s="40"/>
      <c r="F741" s="37"/>
      <c r="G741" s="37"/>
      <c r="H741" s="40"/>
      <c r="I741" s="37"/>
      <c r="J741" s="37"/>
    </row>
    <row r="742" spans="5:10">
      <c r="E742" s="37"/>
      <c r="F742" s="37"/>
      <c r="G742" s="37"/>
      <c r="H742" s="37"/>
      <c r="I742" s="37"/>
      <c r="J742" s="37"/>
    </row>
    <row r="743" spans="5:10">
      <c r="E743" s="37"/>
      <c r="F743" s="37"/>
      <c r="G743" s="37"/>
      <c r="H743" s="37"/>
      <c r="I743" s="37"/>
      <c r="J743" s="37"/>
    </row>
    <row r="744" spans="5:10">
      <c r="E744" s="40"/>
      <c r="F744" s="37"/>
      <c r="G744" s="37"/>
      <c r="H744" s="40"/>
      <c r="I744" s="37"/>
      <c r="J744" s="37"/>
    </row>
    <row r="745" spans="5:10">
      <c r="E745" s="37"/>
      <c r="F745" s="37"/>
      <c r="G745" s="37"/>
      <c r="H745" s="37"/>
      <c r="I745" s="37"/>
      <c r="J745" s="37"/>
    </row>
    <row r="746" spans="5:10">
      <c r="E746" s="37"/>
      <c r="F746" s="37"/>
      <c r="G746" s="37"/>
      <c r="H746" s="40"/>
      <c r="I746" s="37"/>
      <c r="J746" s="37"/>
    </row>
    <row r="747" spans="5:10">
      <c r="E747" s="37"/>
      <c r="F747" s="37"/>
      <c r="G747" s="37"/>
      <c r="H747" s="40"/>
      <c r="I747" s="37"/>
      <c r="J747" s="37"/>
    </row>
    <row r="748" spans="5:10">
      <c r="E748" s="37"/>
      <c r="F748" s="37"/>
      <c r="G748" s="37"/>
      <c r="H748" s="40"/>
      <c r="I748" s="37"/>
      <c r="J748" s="37"/>
    </row>
    <row r="749" spans="5:10">
      <c r="E749" s="37"/>
      <c r="F749" s="37"/>
      <c r="G749" s="37"/>
      <c r="H749" s="40"/>
      <c r="I749" s="37"/>
      <c r="J749" s="37"/>
    </row>
    <row r="750" spans="5:10">
      <c r="E750" s="40"/>
      <c r="F750" s="37"/>
      <c r="G750" s="37"/>
      <c r="H750" s="40"/>
      <c r="I750" s="37"/>
      <c r="J750" s="37"/>
    </row>
    <row r="751" spans="5:10">
      <c r="E751" s="40"/>
      <c r="F751" s="37"/>
      <c r="G751" s="37"/>
      <c r="H751" s="40"/>
      <c r="I751" s="37"/>
      <c r="J751" s="37"/>
    </row>
    <row r="752" spans="5:10">
      <c r="E752" s="37"/>
      <c r="F752" s="37"/>
      <c r="G752" s="37"/>
      <c r="H752" s="40"/>
      <c r="I752" s="37"/>
      <c r="J752" s="37"/>
    </row>
    <row r="753" spans="5:10">
      <c r="E753" s="37"/>
      <c r="F753" s="37"/>
      <c r="G753" s="37"/>
      <c r="H753" s="37"/>
      <c r="I753" s="37"/>
      <c r="J753" s="37"/>
    </row>
    <row r="754" spans="5:10">
      <c r="E754" s="37"/>
      <c r="F754" s="37"/>
      <c r="G754" s="37"/>
      <c r="H754" s="37"/>
      <c r="I754" s="37"/>
      <c r="J754" s="37"/>
    </row>
    <row r="755" spans="5:10">
      <c r="E755" s="37"/>
      <c r="F755" s="37"/>
      <c r="G755" s="37"/>
      <c r="H755" s="37"/>
      <c r="I755" s="37"/>
      <c r="J755" s="37"/>
    </row>
    <row r="756" spans="5:10">
      <c r="E756" s="37"/>
      <c r="F756" s="37"/>
      <c r="G756" s="37"/>
      <c r="H756" s="40"/>
      <c r="I756" s="37"/>
      <c r="J756" s="37"/>
    </row>
    <row r="757" spans="5:10">
      <c r="E757" s="37"/>
      <c r="F757" s="37"/>
      <c r="G757" s="37"/>
      <c r="H757" s="40"/>
      <c r="I757" s="37"/>
      <c r="J757" s="37"/>
    </row>
    <row r="758" spans="5:10">
      <c r="E758" s="37"/>
      <c r="F758" s="37"/>
      <c r="G758" s="37"/>
      <c r="H758" s="37"/>
      <c r="I758" s="37"/>
      <c r="J758" s="37"/>
    </row>
    <row r="759" spans="5:10">
      <c r="E759" s="37"/>
      <c r="F759" s="37"/>
      <c r="G759" s="37"/>
      <c r="H759" s="37"/>
      <c r="I759" s="37"/>
      <c r="J759" s="37"/>
    </row>
    <row r="760" spans="5:10">
      <c r="E760" s="37"/>
      <c r="F760" s="37"/>
      <c r="G760" s="37"/>
      <c r="H760" s="40"/>
      <c r="I760" s="37"/>
      <c r="J760" s="40"/>
    </row>
    <row r="761" spans="5:10">
      <c r="E761" s="37"/>
      <c r="F761" s="37"/>
      <c r="G761" s="37"/>
      <c r="H761" s="37"/>
      <c r="I761" s="37"/>
      <c r="J761" s="37"/>
    </row>
    <row r="762" spans="5:10">
      <c r="E762" s="37"/>
      <c r="F762" s="37"/>
      <c r="G762" s="37"/>
      <c r="H762" s="37"/>
      <c r="I762" s="37"/>
      <c r="J762" s="37"/>
    </row>
    <row r="763" spans="5:10">
      <c r="E763" s="37"/>
      <c r="F763" s="37"/>
      <c r="G763" s="37"/>
      <c r="H763" s="37"/>
      <c r="I763" s="37"/>
      <c r="J763" s="37"/>
    </row>
    <row r="764" spans="5:10">
      <c r="E764" s="37"/>
      <c r="F764" s="37"/>
      <c r="G764" s="37"/>
      <c r="H764" s="40"/>
      <c r="I764" s="37"/>
      <c r="J764" s="37"/>
    </row>
    <row r="765" spans="5:10">
      <c r="E765" s="37"/>
      <c r="F765" s="37"/>
      <c r="G765" s="37"/>
      <c r="H765" s="37"/>
      <c r="I765" s="37"/>
      <c r="J765" s="37"/>
    </row>
    <row r="766" spans="5:10">
      <c r="E766" s="37"/>
      <c r="F766" s="37"/>
      <c r="G766" s="37"/>
      <c r="H766" s="37"/>
      <c r="I766" s="37"/>
      <c r="J766" s="37"/>
    </row>
    <row r="767" spans="5:10">
      <c r="E767" s="37"/>
      <c r="F767" s="37"/>
      <c r="G767" s="37"/>
      <c r="H767" s="40"/>
      <c r="I767" s="37"/>
      <c r="J767" s="37"/>
    </row>
    <row r="768" spans="5:10">
      <c r="E768" s="40"/>
      <c r="F768" s="37"/>
      <c r="G768" s="37"/>
      <c r="H768" s="40"/>
      <c r="I768" s="37"/>
      <c r="J768" s="37"/>
    </row>
    <row r="769" spans="5:10">
      <c r="E769" s="37"/>
      <c r="F769" s="37"/>
      <c r="G769" s="37"/>
      <c r="H769" s="37"/>
      <c r="I769" s="37"/>
      <c r="J769" s="37"/>
    </row>
    <row r="770" spans="5:10">
      <c r="E770" s="37"/>
      <c r="F770" s="37"/>
      <c r="G770" s="37"/>
      <c r="H770" s="40"/>
      <c r="I770" s="37"/>
      <c r="J770" s="37"/>
    </row>
    <row r="771" spans="5:10">
      <c r="E771" s="37"/>
      <c r="F771" s="37"/>
      <c r="G771" s="37"/>
      <c r="H771" s="40"/>
      <c r="I771" s="37"/>
      <c r="J771" s="37"/>
    </row>
    <row r="772" spans="5:10">
      <c r="E772" s="37"/>
      <c r="F772" s="37"/>
      <c r="G772" s="37"/>
      <c r="H772" s="40"/>
      <c r="I772" s="37"/>
      <c r="J772" s="37"/>
    </row>
    <row r="773" spans="5:10">
      <c r="E773" s="37"/>
      <c r="F773" s="37"/>
      <c r="G773" s="37"/>
      <c r="H773" s="40"/>
      <c r="I773" s="37"/>
      <c r="J773" s="37"/>
    </row>
    <row r="774" spans="5:10">
      <c r="E774" s="37"/>
      <c r="F774" s="37"/>
      <c r="G774" s="37"/>
      <c r="H774" s="37"/>
      <c r="I774" s="37"/>
      <c r="J774" s="37"/>
    </row>
    <row r="775" spans="5:10">
      <c r="E775" s="37"/>
      <c r="F775" s="37"/>
      <c r="G775" s="37"/>
      <c r="H775" s="37"/>
      <c r="I775" s="37"/>
      <c r="J775" s="37"/>
    </row>
    <row r="776" spans="5:10">
      <c r="E776" s="37"/>
      <c r="F776" s="37"/>
      <c r="G776" s="37"/>
      <c r="H776" s="40"/>
      <c r="I776" s="37"/>
      <c r="J776" s="40"/>
    </row>
    <row r="777" spans="5:10">
      <c r="E777" s="37"/>
      <c r="F777" s="37"/>
      <c r="G777" s="37"/>
      <c r="H777" s="37"/>
      <c r="I777" s="37"/>
      <c r="J777" s="37"/>
    </row>
    <row r="778" spans="5:10">
      <c r="E778" s="37"/>
      <c r="F778" s="37"/>
      <c r="G778" s="37"/>
      <c r="H778" s="37"/>
      <c r="I778" s="37"/>
      <c r="J778" s="37"/>
    </row>
    <row r="779" spans="5:10">
      <c r="E779" s="37"/>
      <c r="F779" s="37"/>
      <c r="G779" s="37"/>
      <c r="H779" s="40"/>
      <c r="I779" s="37"/>
      <c r="J779" s="37"/>
    </row>
    <row r="780" spans="5:10">
      <c r="E780" s="37"/>
      <c r="F780" s="37"/>
      <c r="G780" s="37"/>
      <c r="H780" s="40"/>
      <c r="I780" s="37"/>
      <c r="J780" s="37"/>
    </row>
    <row r="781" spans="5:10">
      <c r="E781" s="37"/>
      <c r="F781" s="37"/>
      <c r="G781" s="37"/>
      <c r="H781" s="40"/>
      <c r="I781" s="37"/>
      <c r="J781" s="37"/>
    </row>
    <row r="782" spans="5:10">
      <c r="E782" s="37"/>
      <c r="F782" s="37"/>
      <c r="G782" s="37"/>
      <c r="H782" s="40"/>
      <c r="I782" s="37"/>
      <c r="J782" s="37"/>
    </row>
    <row r="783" spans="5:10">
      <c r="E783" s="37"/>
      <c r="F783" s="37"/>
      <c r="G783" s="37"/>
      <c r="H783" s="37"/>
      <c r="I783" s="37"/>
      <c r="J783" s="37"/>
    </row>
    <row r="784" spans="5:10">
      <c r="E784" s="37"/>
      <c r="F784" s="37"/>
      <c r="G784" s="37"/>
      <c r="H784" s="37"/>
      <c r="I784" s="37"/>
      <c r="J784" s="37"/>
    </row>
    <row r="785" spans="5:10">
      <c r="E785" s="37"/>
      <c r="F785" s="37"/>
      <c r="G785" s="37"/>
      <c r="H785" s="40"/>
      <c r="I785" s="37"/>
      <c r="J785" s="37"/>
    </row>
    <row r="786" spans="5:10">
      <c r="E786" s="40"/>
      <c r="F786" s="37"/>
      <c r="G786" s="37"/>
      <c r="H786" s="40"/>
      <c r="I786" s="37"/>
      <c r="J786" s="40"/>
    </row>
    <row r="787" spans="5:10">
      <c r="E787" s="37"/>
      <c r="F787" s="37"/>
      <c r="G787" s="37"/>
      <c r="H787" s="37"/>
      <c r="I787" s="37"/>
      <c r="J787" s="37"/>
    </row>
    <row r="788" spans="5:10">
      <c r="E788" s="37"/>
      <c r="F788" s="37"/>
      <c r="G788" s="37"/>
      <c r="H788" s="40"/>
      <c r="I788" s="37"/>
      <c r="J788" s="37"/>
    </row>
    <row r="789" spans="5:10">
      <c r="E789" s="37"/>
      <c r="F789" s="37"/>
      <c r="G789" s="37"/>
      <c r="H789" s="40"/>
      <c r="I789" s="37"/>
      <c r="J789" s="37"/>
    </row>
    <row r="790" spans="5:10">
      <c r="E790" s="37"/>
      <c r="F790" s="37"/>
      <c r="G790" s="37"/>
      <c r="H790" s="37"/>
      <c r="I790" s="37"/>
      <c r="J790" s="37"/>
    </row>
    <row r="791" spans="5:10">
      <c r="E791" s="40"/>
      <c r="F791" s="37"/>
      <c r="G791" s="37"/>
      <c r="H791" s="40"/>
      <c r="I791" s="37"/>
      <c r="J791" s="37"/>
    </row>
    <row r="792" spans="5:10">
      <c r="E792" s="37"/>
      <c r="F792" s="37"/>
      <c r="G792" s="37"/>
      <c r="H792" s="37"/>
      <c r="I792" s="37"/>
      <c r="J792" s="37"/>
    </row>
    <row r="793" spans="5:10">
      <c r="E793" s="37"/>
      <c r="F793" s="37"/>
      <c r="G793" s="37"/>
      <c r="H793" s="37"/>
      <c r="I793" s="37"/>
      <c r="J793" s="37"/>
    </row>
    <row r="794" spans="5:10">
      <c r="E794" s="40"/>
      <c r="F794" s="37"/>
      <c r="G794" s="37"/>
      <c r="H794" s="40"/>
      <c r="I794" s="37"/>
      <c r="J794" s="37"/>
    </row>
    <row r="795" spans="5:10">
      <c r="E795" s="37"/>
      <c r="F795" s="37"/>
      <c r="G795" s="37"/>
      <c r="H795" s="37"/>
      <c r="I795" s="37"/>
      <c r="J795" s="37"/>
    </row>
    <row r="796" spans="5:10">
      <c r="E796" s="37"/>
      <c r="F796" s="37"/>
      <c r="G796" s="37"/>
      <c r="H796" s="40"/>
      <c r="I796" s="37"/>
      <c r="J796" s="37"/>
    </row>
    <row r="797" spans="5:10">
      <c r="E797" s="37"/>
      <c r="F797" s="37"/>
      <c r="G797" s="37"/>
      <c r="H797" s="40"/>
      <c r="I797" s="37"/>
      <c r="J797" s="37"/>
    </row>
    <row r="798" spans="5:10">
      <c r="E798" s="37"/>
      <c r="F798" s="37"/>
      <c r="G798" s="37"/>
      <c r="H798" s="37"/>
      <c r="I798" s="37"/>
      <c r="J798" s="37"/>
    </row>
    <row r="799" spans="5:10">
      <c r="E799" s="37"/>
      <c r="F799" s="37"/>
      <c r="G799" s="37"/>
      <c r="H799" s="40"/>
      <c r="I799" s="37"/>
      <c r="J799" s="37"/>
    </row>
    <row r="800" spans="5:10">
      <c r="E800" s="40"/>
      <c r="F800" s="37"/>
      <c r="G800" s="37"/>
      <c r="H800" s="40"/>
      <c r="I800" s="37"/>
      <c r="J800" s="37"/>
    </row>
    <row r="801" spans="5:10">
      <c r="E801" s="40"/>
      <c r="F801" s="37"/>
      <c r="G801" s="37"/>
      <c r="H801" s="40"/>
      <c r="I801" s="37"/>
      <c r="J801" s="37"/>
    </row>
    <row r="802" spans="5:10">
      <c r="E802" s="37"/>
      <c r="F802" s="37"/>
      <c r="G802" s="37"/>
      <c r="H802" s="37"/>
      <c r="I802" s="37"/>
      <c r="J802" s="37"/>
    </row>
    <row r="803" spans="5:10">
      <c r="E803" s="37"/>
      <c r="F803" s="37"/>
      <c r="G803" s="37"/>
      <c r="H803" s="37"/>
      <c r="I803" s="37"/>
      <c r="J803" s="37"/>
    </row>
    <row r="804" spans="5:10">
      <c r="E804" s="37"/>
      <c r="F804" s="37"/>
      <c r="G804" s="37"/>
      <c r="H804" s="37"/>
      <c r="I804" s="37"/>
      <c r="J804" s="37"/>
    </row>
    <row r="805" spans="5:10">
      <c r="E805" s="37"/>
      <c r="F805" s="37"/>
      <c r="G805" s="37"/>
      <c r="H805" s="37"/>
      <c r="I805" s="37"/>
      <c r="J805" s="37"/>
    </row>
    <row r="806" spans="5:10">
      <c r="E806" s="37"/>
      <c r="F806" s="37"/>
      <c r="G806" s="37"/>
      <c r="H806" s="37"/>
      <c r="I806" s="37"/>
      <c r="J806" s="37"/>
    </row>
    <row r="807" spans="5:10">
      <c r="E807" s="37"/>
      <c r="F807" s="37"/>
      <c r="G807" s="37"/>
      <c r="H807" s="40"/>
      <c r="I807" s="37"/>
      <c r="J807" s="37"/>
    </row>
    <row r="808" spans="5:10">
      <c r="E808" s="37"/>
      <c r="F808" s="37"/>
      <c r="G808" s="37"/>
      <c r="H808" s="37"/>
      <c r="I808" s="37"/>
      <c r="J808" s="37"/>
    </row>
    <row r="809" spans="5:10">
      <c r="E809" s="37"/>
      <c r="F809" s="37"/>
      <c r="G809" s="37"/>
      <c r="H809" s="37"/>
      <c r="I809" s="37"/>
      <c r="J809" s="37"/>
    </row>
    <row r="810" spans="5:10">
      <c r="E810" s="37"/>
      <c r="F810" s="37"/>
      <c r="G810" s="37"/>
      <c r="H810" s="37"/>
      <c r="I810" s="37"/>
      <c r="J810" s="37"/>
    </row>
    <row r="811" spans="5:10">
      <c r="E811" s="37"/>
      <c r="F811" s="37"/>
      <c r="G811" s="37"/>
      <c r="H811" s="40"/>
      <c r="I811" s="37"/>
      <c r="J811" s="40"/>
    </row>
    <row r="812" spans="5:10">
      <c r="E812" s="37"/>
      <c r="F812" s="37"/>
      <c r="G812" s="37"/>
      <c r="H812" s="37"/>
      <c r="I812" s="37"/>
      <c r="J812" s="37"/>
    </row>
    <row r="813" spans="5:10">
      <c r="E813" s="37"/>
      <c r="F813" s="37"/>
      <c r="G813" s="37"/>
      <c r="H813" s="37"/>
      <c r="I813" s="37"/>
      <c r="J813" s="37"/>
    </row>
    <row r="814" spans="5:10">
      <c r="E814" s="37"/>
      <c r="F814" s="37"/>
      <c r="G814" s="37"/>
      <c r="H814" s="40"/>
      <c r="I814" s="37"/>
      <c r="J814" s="37"/>
    </row>
    <row r="815" spans="5:10">
      <c r="E815" s="37"/>
      <c r="F815" s="37"/>
      <c r="G815" s="37"/>
      <c r="H815" s="37"/>
      <c r="I815" s="37"/>
      <c r="J815" s="37"/>
    </row>
    <row r="816" spans="5:10">
      <c r="E816" s="37"/>
      <c r="F816" s="37"/>
      <c r="G816" s="37"/>
      <c r="H816" s="37"/>
      <c r="I816" s="37"/>
      <c r="J816" s="37"/>
    </row>
    <row r="817" spans="5:10">
      <c r="E817" s="37"/>
      <c r="F817" s="37"/>
      <c r="G817" s="37"/>
      <c r="H817" s="37"/>
      <c r="I817" s="37"/>
      <c r="J817" s="37"/>
    </row>
    <row r="818" spans="5:10">
      <c r="E818" s="37"/>
      <c r="F818" s="37"/>
      <c r="G818" s="37"/>
      <c r="H818" s="37"/>
      <c r="I818" s="37"/>
      <c r="J818" s="37"/>
    </row>
    <row r="819" spans="5:10">
      <c r="E819" s="40"/>
      <c r="F819" s="37"/>
      <c r="G819" s="37"/>
      <c r="H819" s="40"/>
      <c r="I819" s="37"/>
      <c r="J819" s="40"/>
    </row>
    <row r="820" spans="5:10">
      <c r="E820" s="37"/>
      <c r="F820" s="37"/>
      <c r="G820" s="37"/>
      <c r="H820" s="40"/>
      <c r="I820" s="37"/>
      <c r="J820" s="37"/>
    </row>
    <row r="821" spans="5:10">
      <c r="E821" s="37"/>
      <c r="F821" s="37"/>
      <c r="G821" s="37"/>
      <c r="H821" s="40"/>
      <c r="I821" s="37"/>
      <c r="J821" s="37"/>
    </row>
    <row r="822" spans="5:10">
      <c r="E822" s="37"/>
      <c r="F822" s="37"/>
      <c r="G822" s="37"/>
      <c r="H822" s="37"/>
      <c r="I822" s="37"/>
      <c r="J822" s="37"/>
    </row>
    <row r="823" spans="5:10">
      <c r="E823" s="37"/>
      <c r="F823" s="37"/>
      <c r="G823" s="37"/>
      <c r="H823" s="40"/>
      <c r="I823" s="37"/>
      <c r="J823" s="37"/>
    </row>
    <row r="824" spans="5:10">
      <c r="E824" s="37"/>
      <c r="F824" s="37"/>
      <c r="G824" s="37"/>
      <c r="H824" s="40"/>
      <c r="I824" s="37"/>
      <c r="J824" s="37"/>
    </row>
    <row r="825" spans="5:10">
      <c r="E825" s="37"/>
      <c r="F825" s="37"/>
      <c r="G825" s="37"/>
      <c r="H825" s="40"/>
      <c r="I825" s="37"/>
      <c r="J825" s="37"/>
    </row>
    <row r="826" spans="5:10">
      <c r="E826" s="37"/>
      <c r="F826" s="37"/>
      <c r="G826" s="37"/>
      <c r="H826" s="40"/>
      <c r="I826" s="37"/>
      <c r="J826" s="37"/>
    </row>
    <row r="827" spans="5:10">
      <c r="E827" s="37"/>
      <c r="F827" s="37"/>
      <c r="G827" s="37"/>
      <c r="H827" s="40"/>
      <c r="I827" s="37"/>
      <c r="J827" s="37"/>
    </row>
    <row r="828" spans="5:10">
      <c r="E828" s="37"/>
      <c r="F828" s="37"/>
      <c r="G828" s="37"/>
      <c r="H828" s="37"/>
      <c r="I828" s="37"/>
      <c r="J828" s="37"/>
    </row>
    <row r="829" spans="5:10">
      <c r="E829" s="37"/>
      <c r="F829" s="37"/>
      <c r="G829" s="37"/>
      <c r="H829" s="40"/>
      <c r="I829" s="37"/>
      <c r="J829" s="37"/>
    </row>
    <row r="830" spans="5:10">
      <c r="E830" s="37"/>
      <c r="F830" s="37"/>
      <c r="G830" s="37"/>
      <c r="H830" s="37"/>
      <c r="I830" s="37"/>
      <c r="J830" s="37"/>
    </row>
    <row r="831" spans="5:10">
      <c r="E831" s="37"/>
      <c r="F831" s="37"/>
      <c r="G831" s="37"/>
      <c r="H831" s="37"/>
      <c r="I831" s="37"/>
      <c r="J831" s="37"/>
    </row>
    <row r="832" spans="5:10">
      <c r="E832" s="37"/>
      <c r="F832" s="37"/>
      <c r="G832" s="37"/>
      <c r="H832" s="40"/>
      <c r="I832" s="37"/>
      <c r="J832" s="37"/>
    </row>
    <row r="833" spans="5:10">
      <c r="E833" s="37"/>
      <c r="F833" s="37"/>
      <c r="G833" s="37"/>
      <c r="H833" s="37"/>
      <c r="I833" s="37"/>
      <c r="J833" s="37"/>
    </row>
    <row r="834" spans="5:10">
      <c r="E834" s="37"/>
      <c r="F834" s="37"/>
      <c r="G834" s="37"/>
      <c r="H834" s="37"/>
      <c r="I834" s="37"/>
      <c r="J834" s="37"/>
    </row>
    <row r="835" spans="5:10">
      <c r="E835" s="37"/>
      <c r="F835" s="37"/>
      <c r="G835" s="37"/>
      <c r="H835" s="37"/>
      <c r="I835" s="37"/>
      <c r="J835" s="37"/>
    </row>
    <row r="836" spans="5:10">
      <c r="E836" s="37"/>
      <c r="F836" s="37"/>
      <c r="G836" s="37"/>
      <c r="H836" s="37"/>
      <c r="I836" s="37"/>
      <c r="J836" s="37"/>
    </row>
    <row r="837" spans="5:10">
      <c r="E837" s="37"/>
      <c r="F837" s="37"/>
      <c r="G837" s="37"/>
      <c r="H837" s="40"/>
      <c r="I837" s="37"/>
      <c r="J837" s="40"/>
    </row>
    <row r="838" spans="5:10">
      <c r="E838" s="37"/>
      <c r="F838" s="37"/>
      <c r="G838" s="37"/>
      <c r="H838" s="37"/>
      <c r="I838" s="37"/>
      <c r="J838" s="37"/>
    </row>
    <row r="839" spans="5:10">
      <c r="E839" s="37"/>
      <c r="F839" s="37"/>
      <c r="G839" s="37"/>
      <c r="H839" s="40"/>
      <c r="I839" s="37"/>
      <c r="J839" s="37"/>
    </row>
    <row r="840" spans="5:10">
      <c r="E840" s="37"/>
      <c r="F840" s="37"/>
      <c r="G840" s="37"/>
      <c r="H840" s="40"/>
      <c r="I840" s="37"/>
      <c r="J840" s="37"/>
    </row>
    <row r="841" spans="5:10">
      <c r="E841" s="37"/>
      <c r="F841" s="37"/>
      <c r="G841" s="37"/>
      <c r="H841" s="40"/>
      <c r="I841" s="37"/>
      <c r="J841" s="37"/>
    </row>
    <row r="842" spans="5:10">
      <c r="E842" s="40"/>
      <c r="F842" s="37"/>
      <c r="G842" s="37"/>
      <c r="H842" s="40"/>
      <c r="I842" s="37"/>
      <c r="J842" s="37"/>
    </row>
    <row r="843" spans="5:10">
      <c r="E843" s="37"/>
      <c r="F843" s="37"/>
      <c r="G843" s="37"/>
      <c r="H843" s="37"/>
      <c r="I843" s="37"/>
      <c r="J843" s="37"/>
    </row>
    <row r="844" spans="5:10">
      <c r="E844" s="37"/>
      <c r="F844" s="37"/>
      <c r="G844" s="37"/>
      <c r="H844" s="40"/>
      <c r="I844" s="37"/>
      <c r="J844" s="37"/>
    </row>
    <row r="845" spans="5:10">
      <c r="E845" s="40"/>
      <c r="F845" s="37"/>
      <c r="G845" s="37"/>
      <c r="H845" s="40"/>
      <c r="I845" s="37"/>
      <c r="J845" s="37"/>
    </row>
    <row r="846" spans="5:10">
      <c r="E846" s="37"/>
      <c r="F846" s="37"/>
      <c r="G846" s="37"/>
      <c r="H846" s="37"/>
      <c r="I846" s="37"/>
      <c r="J846" s="37"/>
    </row>
    <row r="847" spans="5:10">
      <c r="E847" s="37"/>
      <c r="F847" s="37"/>
      <c r="G847" s="37"/>
      <c r="H847" s="40"/>
      <c r="I847" s="37"/>
      <c r="J847" s="40"/>
    </row>
    <row r="848" spans="5:10">
      <c r="E848" s="37"/>
      <c r="F848" s="37"/>
      <c r="G848" s="37"/>
      <c r="H848" s="37"/>
      <c r="I848" s="37"/>
      <c r="J848" s="37"/>
    </row>
    <row r="849" spans="5:10">
      <c r="E849" s="37"/>
      <c r="F849" s="37"/>
      <c r="G849" s="37"/>
      <c r="H849" s="37"/>
      <c r="I849" s="37"/>
      <c r="J849" s="37"/>
    </row>
    <row r="850" spans="5:10">
      <c r="E850" s="37"/>
      <c r="F850" s="37"/>
      <c r="G850" s="37"/>
      <c r="H850" s="37"/>
      <c r="I850" s="37"/>
      <c r="J850" s="37"/>
    </row>
    <row r="851" spans="5:10">
      <c r="E851" s="40"/>
      <c r="F851" s="37"/>
      <c r="G851" s="37"/>
      <c r="H851" s="37"/>
      <c r="I851" s="37"/>
      <c r="J851" s="37"/>
    </row>
    <row r="852" spans="5:10">
      <c r="E852" s="37"/>
      <c r="F852" s="37"/>
      <c r="G852" s="37"/>
      <c r="H852" s="37"/>
      <c r="I852" s="37"/>
      <c r="J852" s="37"/>
    </row>
    <row r="853" spans="5:10">
      <c r="E853" s="37"/>
      <c r="F853" s="37"/>
      <c r="G853" s="37"/>
      <c r="H853" s="40"/>
      <c r="I853" s="37"/>
      <c r="J853" s="37"/>
    </row>
    <row r="854" spans="5:10">
      <c r="E854" s="37"/>
      <c r="F854" s="37"/>
      <c r="G854" s="37"/>
      <c r="H854" s="37"/>
      <c r="I854" s="37"/>
      <c r="J854" s="37"/>
    </row>
    <row r="855" spans="5:10">
      <c r="E855" s="37"/>
      <c r="F855" s="37"/>
      <c r="G855" s="37"/>
      <c r="H855" s="37"/>
      <c r="I855" s="37"/>
      <c r="J855" s="37"/>
    </row>
    <row r="856" spans="5:10">
      <c r="E856" s="37"/>
      <c r="F856" s="37"/>
      <c r="G856" s="37"/>
      <c r="H856" s="37"/>
      <c r="I856" s="37"/>
      <c r="J856" s="37"/>
    </row>
    <row r="857" spans="5:10">
      <c r="E857" s="37"/>
      <c r="F857" s="37"/>
      <c r="G857" s="37"/>
      <c r="H857" s="40"/>
      <c r="I857" s="37"/>
      <c r="J857" s="37"/>
    </row>
    <row r="858" spans="5:10">
      <c r="E858" s="37"/>
      <c r="F858" s="37"/>
      <c r="G858" s="37"/>
      <c r="H858" s="37"/>
      <c r="I858" s="37"/>
      <c r="J858" s="37"/>
    </row>
    <row r="859" spans="5:10">
      <c r="E859" s="37"/>
      <c r="F859" s="37"/>
      <c r="G859" s="37"/>
      <c r="H859" s="37"/>
      <c r="I859" s="37"/>
      <c r="J859" s="37"/>
    </row>
    <row r="860" spans="5:10">
      <c r="E860" s="37"/>
      <c r="F860" s="37"/>
      <c r="G860" s="37"/>
      <c r="H860" s="37"/>
      <c r="I860" s="37"/>
      <c r="J860" s="37"/>
    </row>
    <row r="861" spans="5:10">
      <c r="E861" s="37"/>
      <c r="F861" s="37"/>
      <c r="G861" s="37"/>
      <c r="H861" s="37"/>
      <c r="I861" s="37"/>
      <c r="J861" s="37"/>
    </row>
    <row r="862" spans="5:10">
      <c r="E862" s="37"/>
      <c r="F862" s="37"/>
      <c r="G862" s="37"/>
      <c r="H862" s="40"/>
      <c r="I862" s="37"/>
      <c r="J862" s="37"/>
    </row>
    <row r="863" spans="5:10">
      <c r="E863" s="37"/>
      <c r="F863" s="37"/>
      <c r="G863" s="37"/>
      <c r="H863" s="37"/>
      <c r="I863" s="37"/>
      <c r="J863" s="37"/>
    </row>
    <row r="864" spans="5:10">
      <c r="E864" s="37"/>
      <c r="F864" s="37"/>
      <c r="G864" s="37"/>
      <c r="H864" s="37"/>
      <c r="I864" s="37"/>
      <c r="J864" s="37"/>
    </row>
    <row r="865" spans="5:10">
      <c r="E865" s="37"/>
      <c r="F865" s="37"/>
      <c r="G865" s="37"/>
      <c r="H865" s="37"/>
      <c r="I865" s="37"/>
      <c r="J865" s="37"/>
    </row>
    <row r="866" spans="5:10">
      <c r="E866" s="37"/>
      <c r="F866" s="37"/>
      <c r="G866" s="37"/>
      <c r="H866" s="37"/>
      <c r="I866" s="37"/>
      <c r="J866" s="37"/>
    </row>
    <row r="867" spans="5:10">
      <c r="E867" s="37"/>
      <c r="F867" s="37"/>
      <c r="G867" s="37"/>
      <c r="H867" s="37"/>
      <c r="I867" s="37"/>
      <c r="J867" s="37"/>
    </row>
    <row r="868" spans="5:10">
      <c r="E868" s="37"/>
      <c r="F868" s="37"/>
      <c r="G868" s="37"/>
      <c r="H868" s="37"/>
      <c r="I868" s="37"/>
      <c r="J868" s="37"/>
    </row>
    <row r="869" spans="5:10">
      <c r="E869" s="37"/>
      <c r="F869" s="37"/>
      <c r="G869" s="37"/>
      <c r="H869" s="37"/>
      <c r="I869" s="37"/>
      <c r="J869" s="37"/>
    </row>
    <row r="870" spans="5:10">
      <c r="E870" s="40"/>
      <c r="F870" s="37"/>
      <c r="G870" s="37"/>
      <c r="H870" s="40"/>
      <c r="I870" s="37"/>
      <c r="J870" s="40"/>
    </row>
    <row r="871" spans="5:10">
      <c r="E871" s="37"/>
      <c r="F871" s="37"/>
      <c r="G871" s="37"/>
      <c r="H871" s="37"/>
      <c r="I871" s="37"/>
      <c r="J871" s="37"/>
    </row>
    <row r="872" spans="5:10">
      <c r="E872" s="37"/>
      <c r="F872" s="37"/>
      <c r="G872" s="37"/>
      <c r="H872" s="40"/>
      <c r="I872" s="37"/>
      <c r="J872" s="37"/>
    </row>
    <row r="873" spans="5:10">
      <c r="E873" s="37"/>
      <c r="F873" s="37"/>
      <c r="G873" s="37"/>
      <c r="H873" s="37"/>
      <c r="I873" s="37"/>
      <c r="J873" s="37"/>
    </row>
    <row r="874" spans="5:10">
      <c r="E874" s="37"/>
      <c r="F874" s="37"/>
      <c r="G874" s="37"/>
      <c r="H874" s="40"/>
      <c r="I874" s="37"/>
      <c r="J874" s="37"/>
    </row>
    <row r="875" spans="5:10">
      <c r="E875" s="37"/>
      <c r="F875" s="37"/>
      <c r="G875" s="37"/>
      <c r="H875" s="40"/>
      <c r="I875" s="37"/>
      <c r="J875" s="37"/>
    </row>
    <row r="876" spans="5:10">
      <c r="E876" s="37"/>
      <c r="F876" s="37"/>
      <c r="G876" s="37"/>
      <c r="H876" s="40"/>
      <c r="I876" s="37"/>
      <c r="J876" s="37"/>
    </row>
    <row r="877" spans="5:10">
      <c r="E877" s="37"/>
      <c r="F877" s="37"/>
      <c r="G877" s="37"/>
      <c r="H877" s="37"/>
      <c r="I877" s="37"/>
      <c r="J877" s="37"/>
    </row>
    <row r="878" spans="5:10">
      <c r="E878" s="37"/>
      <c r="F878" s="37"/>
      <c r="G878" s="37"/>
      <c r="H878" s="40"/>
      <c r="I878" s="37"/>
      <c r="J878" s="37"/>
    </row>
    <row r="879" spans="5:10">
      <c r="E879" s="37"/>
      <c r="F879" s="37"/>
      <c r="G879" s="37"/>
      <c r="H879" s="37"/>
      <c r="I879" s="37"/>
      <c r="J879" s="37"/>
    </row>
    <row r="880" spans="5:10">
      <c r="E880" s="37"/>
      <c r="F880" s="37"/>
      <c r="G880" s="37"/>
      <c r="H880" s="40"/>
      <c r="I880" s="37"/>
      <c r="J880" s="40"/>
    </row>
    <row r="881" spans="5:10">
      <c r="E881" s="37"/>
      <c r="F881" s="37"/>
      <c r="G881" s="37"/>
      <c r="H881" s="37"/>
      <c r="I881" s="37"/>
      <c r="J881" s="37"/>
    </row>
    <row r="882" spans="5:10">
      <c r="E882" s="37"/>
      <c r="F882" s="37"/>
      <c r="G882" s="37"/>
      <c r="H882" s="37"/>
      <c r="I882" s="37"/>
      <c r="J882" s="37"/>
    </row>
    <row r="883" spans="5:10">
      <c r="E883" s="37"/>
      <c r="F883" s="37"/>
      <c r="G883" s="37"/>
      <c r="H883" s="40"/>
      <c r="I883" s="37"/>
      <c r="J883" s="37"/>
    </row>
    <row r="884" spans="5:10">
      <c r="E884" s="37"/>
      <c r="F884" s="37"/>
      <c r="G884" s="37"/>
      <c r="H884" s="40"/>
      <c r="I884" s="37"/>
      <c r="J884" s="37"/>
    </row>
    <row r="885" spans="5:10">
      <c r="E885" s="37"/>
      <c r="F885" s="37"/>
      <c r="G885" s="37"/>
      <c r="H885" s="40"/>
      <c r="I885" s="37"/>
      <c r="J885" s="37"/>
    </row>
    <row r="886" spans="5:10">
      <c r="E886" s="37"/>
      <c r="F886" s="37"/>
      <c r="G886" s="37"/>
      <c r="H886" s="37"/>
      <c r="I886" s="37"/>
      <c r="J886" s="37"/>
    </row>
    <row r="887" spans="5:10">
      <c r="E887" s="37"/>
      <c r="F887" s="37"/>
      <c r="G887" s="37"/>
      <c r="H887" s="40"/>
      <c r="I887" s="37"/>
      <c r="J887" s="37"/>
    </row>
    <row r="888" spans="5:10">
      <c r="E888" s="37"/>
      <c r="F888" s="37"/>
      <c r="G888" s="37"/>
      <c r="H888" s="40"/>
      <c r="I888" s="37"/>
      <c r="J888" s="40"/>
    </row>
    <row r="889" spans="5:10">
      <c r="E889" s="37"/>
      <c r="F889" s="37"/>
      <c r="G889" s="37"/>
      <c r="H889" s="37"/>
      <c r="I889" s="37"/>
      <c r="J889" s="37"/>
    </row>
    <row r="890" spans="5:10">
      <c r="E890" s="37"/>
      <c r="F890" s="37"/>
      <c r="G890" s="37"/>
      <c r="H890" s="40"/>
      <c r="I890" s="37"/>
      <c r="J890" s="40"/>
    </row>
    <row r="891" spans="5:10">
      <c r="E891" s="37"/>
      <c r="F891" s="37"/>
      <c r="G891" s="37"/>
      <c r="H891" s="40"/>
      <c r="I891" s="37"/>
      <c r="J891" s="40"/>
    </row>
    <row r="892" spans="5:10">
      <c r="E892" s="37"/>
      <c r="F892" s="37"/>
      <c r="G892" s="37"/>
      <c r="H892" s="40"/>
      <c r="I892" s="37"/>
      <c r="J892" s="40"/>
    </row>
    <row r="893" spans="5:10">
      <c r="E893" s="40"/>
      <c r="F893" s="37"/>
      <c r="G893" s="37"/>
      <c r="H893" s="37"/>
      <c r="I893" s="37"/>
      <c r="J893" s="37"/>
    </row>
    <row r="894" spans="5:10">
      <c r="E894" s="37"/>
      <c r="F894" s="37"/>
      <c r="G894" s="37"/>
      <c r="H894" s="37"/>
      <c r="I894" s="37"/>
      <c r="J894" s="37"/>
    </row>
    <row r="895" spans="5:10">
      <c r="E895" s="37"/>
      <c r="F895" s="37"/>
      <c r="G895" s="37"/>
      <c r="H895" s="40"/>
      <c r="I895" s="37"/>
      <c r="J895" s="37"/>
    </row>
    <row r="896" spans="5:10">
      <c r="E896" s="40"/>
      <c r="F896" s="37"/>
      <c r="G896" s="37"/>
      <c r="H896" s="40"/>
      <c r="I896" s="37"/>
      <c r="J896" s="40"/>
    </row>
    <row r="897" spans="5:10">
      <c r="E897" s="37"/>
      <c r="F897" s="37"/>
      <c r="G897" s="37"/>
      <c r="H897" s="37"/>
      <c r="I897" s="37"/>
      <c r="J897" s="37"/>
    </row>
    <row r="898" spans="5:10">
      <c r="E898" s="37"/>
      <c r="F898" s="37"/>
      <c r="G898" s="37"/>
      <c r="H898" s="37"/>
      <c r="I898" s="37"/>
      <c r="J898" s="37"/>
    </row>
    <row r="899" spans="5:10">
      <c r="E899" s="37"/>
      <c r="F899" s="37"/>
      <c r="G899" s="37"/>
      <c r="H899" s="40"/>
      <c r="I899" s="37"/>
      <c r="J899" s="37"/>
    </row>
    <row r="900" spans="5:10">
      <c r="E900" s="37"/>
      <c r="F900" s="37"/>
      <c r="G900" s="37"/>
      <c r="H900" s="37"/>
      <c r="I900" s="37"/>
      <c r="J900" s="37"/>
    </row>
    <row r="901" spans="5:10">
      <c r="E901" s="37"/>
      <c r="F901" s="37"/>
      <c r="G901" s="37"/>
      <c r="H901" s="37"/>
      <c r="I901" s="37"/>
      <c r="J901" s="37"/>
    </row>
    <row r="902" spans="5:10">
      <c r="E902" s="37"/>
      <c r="F902" s="37"/>
      <c r="G902" s="37"/>
      <c r="H902" s="40"/>
      <c r="I902" s="37"/>
      <c r="J902" s="37"/>
    </row>
    <row r="903" spans="5:10">
      <c r="E903" s="37"/>
      <c r="F903" s="37"/>
      <c r="G903" s="37"/>
      <c r="H903" s="37"/>
      <c r="I903" s="37"/>
      <c r="J903" s="37"/>
    </row>
    <row r="904" spans="5:10">
      <c r="E904" s="37"/>
      <c r="F904" s="37"/>
      <c r="G904" s="37"/>
      <c r="H904" s="40"/>
      <c r="I904" s="37"/>
      <c r="J904" s="37"/>
    </row>
    <row r="905" spans="5:10">
      <c r="E905" s="37"/>
      <c r="F905" s="37"/>
      <c r="G905" s="37"/>
      <c r="H905" s="37"/>
      <c r="I905" s="37"/>
      <c r="J905" s="37"/>
    </row>
    <row r="906" spans="5:10">
      <c r="E906" s="37"/>
      <c r="F906" s="37"/>
      <c r="G906" s="37"/>
      <c r="H906" s="37"/>
      <c r="I906" s="37"/>
      <c r="J906" s="37"/>
    </row>
    <row r="907" spans="5:10">
      <c r="E907" s="37"/>
      <c r="F907" s="37"/>
      <c r="G907" s="37"/>
      <c r="H907" s="40"/>
      <c r="I907" s="37"/>
      <c r="J907" s="40"/>
    </row>
    <row r="908" spans="5:10">
      <c r="E908" s="37"/>
      <c r="F908" s="37"/>
      <c r="G908" s="37"/>
      <c r="H908" s="37"/>
      <c r="I908" s="37"/>
      <c r="J908" s="37"/>
    </row>
    <row r="909" spans="5:10">
      <c r="E909" s="37"/>
      <c r="F909" s="37"/>
      <c r="G909" s="37"/>
      <c r="H909" s="40"/>
      <c r="I909" s="37"/>
      <c r="J909" s="37"/>
    </row>
    <row r="910" spans="5:10">
      <c r="E910" s="37"/>
      <c r="F910" s="37"/>
      <c r="G910" s="37"/>
      <c r="H910" s="40"/>
      <c r="I910" s="37"/>
      <c r="J910" s="37"/>
    </row>
    <row r="911" spans="5:10">
      <c r="E911" s="37"/>
      <c r="F911" s="37"/>
      <c r="G911" s="37"/>
      <c r="H911" s="37"/>
      <c r="I911" s="37"/>
      <c r="J911" s="37"/>
    </row>
    <row r="912" spans="5:10">
      <c r="E912" s="37"/>
      <c r="F912" s="37"/>
      <c r="G912" s="37"/>
      <c r="H912" s="40"/>
      <c r="I912" s="37"/>
      <c r="J912" s="37"/>
    </row>
    <row r="913" spans="5:10">
      <c r="E913" s="37"/>
      <c r="F913" s="37"/>
      <c r="G913" s="37"/>
      <c r="H913" s="37"/>
      <c r="I913" s="37"/>
      <c r="J913" s="40"/>
    </row>
    <row r="914" spans="5:10">
      <c r="E914" s="37"/>
      <c r="F914" s="37"/>
      <c r="G914" s="37"/>
      <c r="H914" s="40"/>
      <c r="I914" s="37"/>
      <c r="J914" s="37"/>
    </row>
    <row r="915" spans="5:10">
      <c r="E915" s="37"/>
      <c r="F915" s="37"/>
      <c r="G915" s="37"/>
      <c r="H915" s="37"/>
      <c r="I915" s="37"/>
      <c r="J915" s="37"/>
    </row>
    <row r="916" spans="5:10">
      <c r="E916" s="37"/>
      <c r="F916" s="37"/>
      <c r="G916" s="37"/>
      <c r="H916" s="37"/>
      <c r="I916" s="37"/>
      <c r="J916" s="37"/>
    </row>
    <row r="917" spans="5:10">
      <c r="E917" s="37"/>
      <c r="F917" s="37"/>
      <c r="G917" s="37"/>
      <c r="H917" s="40"/>
      <c r="I917" s="37"/>
      <c r="J917" s="37"/>
    </row>
    <row r="918" spans="5:10">
      <c r="E918" s="37"/>
      <c r="F918" s="37"/>
      <c r="G918" s="37"/>
      <c r="H918" s="37"/>
      <c r="I918" s="37"/>
      <c r="J918" s="37"/>
    </row>
    <row r="919" spans="5:10">
      <c r="E919" s="37"/>
      <c r="F919" s="37"/>
      <c r="G919" s="37"/>
      <c r="H919" s="37"/>
      <c r="I919" s="37"/>
      <c r="J919" s="37"/>
    </row>
    <row r="920" spans="5:10">
      <c r="E920" s="37"/>
      <c r="F920" s="37"/>
      <c r="G920" s="37"/>
      <c r="H920" s="37"/>
      <c r="I920" s="37"/>
      <c r="J920" s="37"/>
    </row>
    <row r="921" spans="5:10">
      <c r="E921" s="40"/>
      <c r="F921" s="37"/>
      <c r="G921" s="37"/>
      <c r="H921" s="40"/>
      <c r="I921" s="37"/>
      <c r="J921" s="40"/>
    </row>
    <row r="922" spans="5:10">
      <c r="E922" s="37"/>
      <c r="F922" s="37"/>
      <c r="G922" s="37"/>
      <c r="H922" s="37"/>
      <c r="I922" s="37"/>
      <c r="J922" s="37"/>
    </row>
    <row r="923" spans="5:10">
      <c r="E923" s="37"/>
      <c r="F923" s="37"/>
      <c r="G923" s="37"/>
      <c r="H923" s="37"/>
      <c r="I923" s="37"/>
      <c r="J923" s="37"/>
    </row>
    <row r="924" spans="5:10">
      <c r="E924" s="37"/>
      <c r="F924" s="37"/>
      <c r="G924" s="37"/>
      <c r="H924" s="37"/>
      <c r="I924" s="37"/>
      <c r="J924" s="37"/>
    </row>
    <row r="925" spans="5:10">
      <c r="E925" s="37"/>
      <c r="F925" s="37"/>
      <c r="G925" s="37"/>
      <c r="H925" s="40"/>
      <c r="I925" s="37"/>
      <c r="J925" s="40"/>
    </row>
    <row r="926" spans="5:10">
      <c r="E926" s="37"/>
      <c r="F926" s="37"/>
      <c r="G926" s="37"/>
      <c r="H926" s="40"/>
      <c r="I926" s="37"/>
      <c r="J926" s="37"/>
    </row>
    <row r="927" spans="5:10">
      <c r="E927" s="37"/>
      <c r="F927" s="37"/>
      <c r="G927" s="37"/>
      <c r="H927" s="40"/>
      <c r="I927" s="37"/>
      <c r="J927" s="37"/>
    </row>
    <row r="928" spans="5:10">
      <c r="E928" s="37"/>
      <c r="F928" s="37"/>
      <c r="G928" s="37"/>
      <c r="H928" s="37"/>
      <c r="I928" s="37"/>
      <c r="J928" s="37"/>
    </row>
    <row r="929" spans="5:10">
      <c r="E929" s="37"/>
      <c r="F929" s="37"/>
      <c r="G929" s="37"/>
      <c r="H929" s="40"/>
      <c r="I929" s="37"/>
      <c r="J929" s="40"/>
    </row>
    <row r="930" spans="5:10">
      <c r="E930" s="37"/>
      <c r="F930" s="37"/>
      <c r="G930" s="37"/>
      <c r="H930" s="37"/>
      <c r="I930" s="37"/>
      <c r="J930" s="37"/>
    </row>
    <row r="931" spans="5:10">
      <c r="E931" s="37"/>
      <c r="F931" s="37"/>
      <c r="G931" s="37"/>
      <c r="H931" s="40"/>
      <c r="I931" s="37"/>
      <c r="J931" s="40"/>
    </row>
    <row r="932" spans="5:10">
      <c r="E932" s="37"/>
      <c r="F932" s="37"/>
      <c r="G932" s="37"/>
      <c r="H932" s="37"/>
      <c r="I932" s="37"/>
      <c r="J932" s="37"/>
    </row>
    <row r="933" spans="5:10">
      <c r="E933" s="37"/>
      <c r="F933" s="37"/>
      <c r="G933" s="37"/>
      <c r="H933" s="40"/>
      <c r="I933" s="37"/>
      <c r="J933" s="37"/>
    </row>
    <row r="934" spans="5:10">
      <c r="E934" s="37"/>
      <c r="F934" s="37"/>
      <c r="G934" s="37"/>
      <c r="H934" s="37"/>
      <c r="I934" s="37"/>
      <c r="J934" s="37"/>
    </row>
    <row r="935" spans="5:10">
      <c r="E935" s="37"/>
      <c r="F935" s="37"/>
      <c r="G935" s="37"/>
      <c r="H935" s="40"/>
      <c r="I935" s="37"/>
      <c r="J935" s="37"/>
    </row>
    <row r="936" spans="5:10">
      <c r="E936" s="37"/>
      <c r="F936" s="37"/>
      <c r="G936" s="37"/>
      <c r="H936" s="37"/>
      <c r="I936" s="37"/>
      <c r="J936" s="37"/>
    </row>
    <row r="937" spans="5:10">
      <c r="E937" s="37"/>
      <c r="F937" s="37"/>
      <c r="G937" s="37"/>
      <c r="H937" s="40"/>
      <c r="I937" s="37"/>
      <c r="J937" s="37"/>
    </row>
    <row r="938" spans="5:10">
      <c r="E938" s="37"/>
      <c r="F938" s="37"/>
      <c r="G938" s="37"/>
      <c r="H938" s="40"/>
      <c r="I938" s="37"/>
      <c r="J938" s="40"/>
    </row>
    <row r="939" spans="5:10">
      <c r="E939" s="37"/>
      <c r="F939" s="37"/>
      <c r="G939" s="37"/>
      <c r="H939" s="37"/>
      <c r="I939" s="37"/>
      <c r="J939" s="37"/>
    </row>
    <row r="940" spans="5:10">
      <c r="E940" s="37"/>
      <c r="F940" s="37"/>
      <c r="G940" s="37"/>
      <c r="H940" s="37"/>
      <c r="I940" s="37"/>
      <c r="J940" s="37"/>
    </row>
    <row r="941" spans="5:10">
      <c r="E941" s="40"/>
      <c r="F941" s="37"/>
      <c r="G941" s="37"/>
      <c r="H941" s="40"/>
      <c r="I941" s="37"/>
      <c r="J941" s="40"/>
    </row>
    <row r="942" spans="5:10">
      <c r="E942" s="37"/>
      <c r="F942" s="37"/>
      <c r="G942" s="37"/>
      <c r="H942" s="40"/>
      <c r="I942" s="37"/>
      <c r="J942" s="40"/>
    </row>
    <row r="943" spans="5:10">
      <c r="E943" s="37"/>
      <c r="F943" s="37"/>
      <c r="G943" s="37"/>
      <c r="H943" s="37"/>
      <c r="I943" s="37"/>
      <c r="J943" s="37"/>
    </row>
    <row r="944" spans="5:10">
      <c r="E944" s="40"/>
      <c r="F944" s="37"/>
      <c r="G944" s="37"/>
      <c r="H944" s="37"/>
      <c r="I944" s="37"/>
      <c r="J944" s="37"/>
    </row>
    <row r="945" spans="5:10">
      <c r="E945" s="37"/>
      <c r="F945" s="37"/>
      <c r="G945" s="37"/>
      <c r="H945" s="37"/>
      <c r="I945" s="37"/>
      <c r="J945" s="3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8743-C137-4ADE-837A-4618A2239B93}">
  <sheetPr codeName="Sheet13">
    <tabColor theme="8" tint="0.79998168889431442"/>
  </sheetPr>
  <dimension ref="B1:V91"/>
  <sheetViews>
    <sheetView showGridLines="0" zoomScale="85" zoomScaleNormal="85" workbookViewId="0">
      <pane ySplit="5" topLeftCell="A54" activePane="bottomLeft" state="frozen"/>
      <selection pane="bottomLeft"/>
    </sheetView>
  </sheetViews>
  <sheetFormatPr defaultColWidth="11.625" defaultRowHeight="13.5"/>
  <cols>
    <col min="1" max="1" width="4.375" style="24" customWidth="1"/>
    <col min="2" max="2" width="28.25" style="24" customWidth="1"/>
    <col min="3" max="10" width="11.625" style="24" customWidth="1"/>
    <col min="11" max="21" width="11.625" style="24"/>
    <col min="22" max="22" width="14.625" style="24" customWidth="1"/>
    <col min="23" max="16384" width="11.625" style="24"/>
  </cols>
  <sheetData>
    <row r="1" spans="2:22" s="1" customFormat="1"/>
    <row r="2" spans="2:22" s="1" customFormat="1" ht="32.25" customHeight="1" thickBot="1">
      <c r="B2" s="243" t="s">
        <v>369</v>
      </c>
      <c r="C2" s="243"/>
      <c r="D2" s="243"/>
      <c r="E2" s="243"/>
      <c r="F2" s="243"/>
      <c r="G2" s="243"/>
      <c r="H2" s="243"/>
      <c r="I2" s="243"/>
      <c r="J2" s="243"/>
    </row>
    <row r="3" spans="2:22" s="1" customFormat="1" ht="14.25" thickTop="1"/>
    <row r="4" spans="2:22" s="84" customFormat="1" ht="33">
      <c r="B4" s="137" t="str">
        <f>파워링크_Summary!B4</f>
        <v>구분
(1/1~1/31)</v>
      </c>
      <c r="C4" s="138" t="s">
        <v>2</v>
      </c>
      <c r="D4" s="138" t="s">
        <v>4</v>
      </c>
      <c r="E4" s="137" t="s">
        <v>60</v>
      </c>
      <c r="F4" s="137" t="s">
        <v>45</v>
      </c>
    </row>
    <row r="5" spans="2:22" s="84" customFormat="1" ht="16.5">
      <c r="B5" s="139" t="s">
        <v>5</v>
      </c>
      <c r="C5" s="86">
        <f>C54</f>
        <v>0</v>
      </c>
      <c r="D5" s="86">
        <f>D54</f>
        <v>0</v>
      </c>
      <c r="E5" s="86">
        <f>G54</f>
        <v>0</v>
      </c>
      <c r="F5" s="86">
        <f>H54</f>
        <v>0</v>
      </c>
    </row>
    <row r="6" spans="2:22" s="1" customFormat="1">
      <c r="B6" s="43"/>
    </row>
    <row r="7" spans="2:22" s="1" customFormat="1">
      <c r="B7" s="5" t="s">
        <v>6</v>
      </c>
      <c r="L7" s="5" t="s">
        <v>162</v>
      </c>
    </row>
    <row r="8" spans="2:22" s="1" customFormat="1" ht="5.25" customHeight="1" thickBot="1">
      <c r="B8" s="5"/>
    </row>
    <row r="9" spans="2:22" s="1" customFormat="1" ht="13.5" customHeight="1">
      <c r="B9" s="5"/>
      <c r="K9" s="41"/>
      <c r="L9" s="209" t="s">
        <v>651</v>
      </c>
      <c r="M9" s="210"/>
      <c r="N9" s="210"/>
      <c r="O9" s="210"/>
      <c r="P9" s="210"/>
      <c r="Q9" s="210"/>
      <c r="R9" s="210"/>
      <c r="S9" s="210"/>
      <c r="T9" s="210"/>
      <c r="U9" s="210"/>
      <c r="V9" s="211"/>
    </row>
    <row r="10" spans="2:22" s="1" customFormat="1" ht="13.5" customHeight="1">
      <c r="B10" s="5"/>
      <c r="K10" s="41"/>
      <c r="L10" s="212"/>
      <c r="M10" s="213"/>
      <c r="N10" s="213"/>
      <c r="O10" s="213"/>
      <c r="P10" s="213"/>
      <c r="Q10" s="213"/>
      <c r="R10" s="213"/>
      <c r="S10" s="213"/>
      <c r="T10" s="213"/>
      <c r="U10" s="213"/>
      <c r="V10" s="214"/>
    </row>
    <row r="11" spans="2:22" s="1" customFormat="1" ht="13.5" customHeight="1">
      <c r="B11" s="5"/>
      <c r="K11" s="41"/>
      <c r="L11" s="212"/>
      <c r="M11" s="213"/>
      <c r="N11" s="213"/>
      <c r="O11" s="213"/>
      <c r="P11" s="213"/>
      <c r="Q11" s="213"/>
      <c r="R11" s="213"/>
      <c r="S11" s="213"/>
      <c r="T11" s="213"/>
      <c r="U11" s="213"/>
      <c r="V11" s="214"/>
    </row>
    <row r="12" spans="2:22" s="1" customFormat="1" ht="13.5" customHeight="1">
      <c r="B12" s="5"/>
      <c r="K12" s="41"/>
      <c r="L12" s="212"/>
      <c r="M12" s="213"/>
      <c r="N12" s="213"/>
      <c r="O12" s="213"/>
      <c r="P12" s="213"/>
      <c r="Q12" s="213"/>
      <c r="R12" s="213"/>
      <c r="S12" s="213"/>
      <c r="T12" s="213"/>
      <c r="U12" s="213"/>
      <c r="V12" s="214"/>
    </row>
    <row r="13" spans="2:22" s="1" customFormat="1" ht="13.5" customHeight="1">
      <c r="B13" s="5"/>
      <c r="K13" s="41"/>
      <c r="L13" s="212"/>
      <c r="M13" s="213"/>
      <c r="N13" s="213"/>
      <c r="O13" s="213"/>
      <c r="P13" s="213"/>
      <c r="Q13" s="213"/>
      <c r="R13" s="213"/>
      <c r="S13" s="213"/>
      <c r="T13" s="213"/>
      <c r="U13" s="213"/>
      <c r="V13" s="214"/>
    </row>
    <row r="14" spans="2:22" s="1" customFormat="1" ht="14.25" customHeight="1">
      <c r="K14" s="41"/>
      <c r="L14" s="212"/>
      <c r="M14" s="213"/>
      <c r="N14" s="213"/>
      <c r="O14" s="213"/>
      <c r="P14" s="213"/>
      <c r="Q14" s="213"/>
      <c r="R14" s="213"/>
      <c r="S14" s="213"/>
      <c r="T14" s="213"/>
      <c r="U14" s="213"/>
      <c r="V14" s="214"/>
    </row>
    <row r="15" spans="2:22" s="1" customFormat="1" ht="13.5" customHeight="1">
      <c r="K15" s="41"/>
      <c r="L15" s="212"/>
      <c r="M15" s="213"/>
      <c r="N15" s="213"/>
      <c r="O15" s="213"/>
      <c r="P15" s="213"/>
      <c r="Q15" s="213"/>
      <c r="R15" s="213"/>
      <c r="S15" s="213"/>
      <c r="T15" s="213"/>
      <c r="U15" s="213"/>
      <c r="V15" s="214"/>
    </row>
    <row r="16" spans="2:22" s="1" customFormat="1" ht="13.5" customHeight="1">
      <c r="K16" s="41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4"/>
    </row>
    <row r="17" spans="2:22" s="1" customFormat="1" ht="13.5" customHeight="1">
      <c r="K17" s="41"/>
      <c r="L17" s="212"/>
      <c r="M17" s="213"/>
      <c r="N17" s="213"/>
      <c r="O17" s="213"/>
      <c r="P17" s="213"/>
      <c r="Q17" s="213"/>
      <c r="R17" s="213"/>
      <c r="S17" s="213"/>
      <c r="T17" s="213"/>
      <c r="U17" s="213"/>
      <c r="V17" s="214"/>
    </row>
    <row r="18" spans="2:22" s="1" customFormat="1" ht="13.5" customHeight="1">
      <c r="K18" s="41"/>
      <c r="L18" s="212"/>
      <c r="M18" s="213"/>
      <c r="N18" s="213"/>
      <c r="O18" s="213"/>
      <c r="P18" s="213"/>
      <c r="Q18" s="213"/>
      <c r="R18" s="213"/>
      <c r="S18" s="213"/>
      <c r="T18" s="213"/>
      <c r="U18" s="213"/>
      <c r="V18" s="214"/>
    </row>
    <row r="19" spans="2:22" s="1" customFormat="1" ht="13.5" customHeight="1">
      <c r="K19" s="41"/>
      <c r="L19" s="212"/>
      <c r="M19" s="213"/>
      <c r="N19" s="213"/>
      <c r="O19" s="213"/>
      <c r="P19" s="213"/>
      <c r="Q19" s="213"/>
      <c r="R19" s="213"/>
      <c r="S19" s="213"/>
      <c r="T19" s="213"/>
      <c r="U19" s="213"/>
      <c r="V19" s="214"/>
    </row>
    <row r="20" spans="2:22" s="1" customFormat="1" ht="13.5" customHeight="1">
      <c r="K20" s="41"/>
      <c r="L20" s="212"/>
      <c r="M20" s="213"/>
      <c r="N20" s="213"/>
      <c r="O20" s="213"/>
      <c r="P20" s="213"/>
      <c r="Q20" s="213"/>
      <c r="R20" s="213"/>
      <c r="S20" s="213"/>
      <c r="T20" s="213"/>
      <c r="U20" s="213"/>
      <c r="V20" s="214"/>
    </row>
    <row r="21" spans="2:22" s="1" customFormat="1" ht="13.5" customHeight="1">
      <c r="K21" s="41"/>
      <c r="L21" s="212"/>
      <c r="M21" s="213"/>
      <c r="N21" s="213"/>
      <c r="O21" s="213"/>
      <c r="P21" s="213"/>
      <c r="Q21" s="213"/>
      <c r="R21" s="213"/>
      <c r="S21" s="213"/>
      <c r="T21" s="213"/>
      <c r="U21" s="213"/>
      <c r="V21" s="214"/>
    </row>
    <row r="22" spans="2:22" s="1" customFormat="1" ht="13.5" customHeight="1">
      <c r="K22" s="41"/>
      <c r="L22" s="212"/>
      <c r="M22" s="213"/>
      <c r="N22" s="213"/>
      <c r="O22" s="213"/>
      <c r="P22" s="213"/>
      <c r="Q22" s="213"/>
      <c r="R22" s="213"/>
      <c r="S22" s="213"/>
      <c r="T22" s="213"/>
      <c r="U22" s="213"/>
      <c r="V22" s="214"/>
    </row>
    <row r="23" spans="2:22" s="1" customFormat="1" ht="13.5" customHeight="1">
      <c r="K23" s="41"/>
      <c r="L23" s="212"/>
      <c r="M23" s="213"/>
      <c r="N23" s="213"/>
      <c r="O23" s="213"/>
      <c r="P23" s="213"/>
      <c r="Q23" s="213"/>
      <c r="R23" s="213"/>
      <c r="S23" s="213"/>
      <c r="T23" s="213"/>
      <c r="U23" s="213"/>
      <c r="V23" s="214"/>
    </row>
    <row r="24" spans="2:22" s="1" customFormat="1" ht="13.5" customHeight="1">
      <c r="K24" s="41"/>
      <c r="L24" s="212"/>
      <c r="M24" s="213"/>
      <c r="N24" s="213"/>
      <c r="O24" s="213"/>
      <c r="P24" s="213"/>
      <c r="Q24" s="213"/>
      <c r="R24" s="213"/>
      <c r="S24" s="213"/>
      <c r="T24" s="213"/>
      <c r="U24" s="213"/>
      <c r="V24" s="214"/>
    </row>
    <row r="25" spans="2:22" s="1" customFormat="1" ht="13.5" customHeight="1">
      <c r="K25" s="41"/>
      <c r="L25" s="212"/>
      <c r="M25" s="213"/>
      <c r="N25" s="213"/>
      <c r="O25" s="213"/>
      <c r="P25" s="213"/>
      <c r="Q25" s="213"/>
      <c r="R25" s="213"/>
      <c r="S25" s="213"/>
      <c r="T25" s="213"/>
      <c r="U25" s="213"/>
      <c r="V25" s="214"/>
    </row>
    <row r="26" spans="2:22" s="1" customFormat="1" ht="13.5" customHeight="1">
      <c r="K26" s="41"/>
      <c r="L26" s="212"/>
      <c r="M26" s="213"/>
      <c r="N26" s="213"/>
      <c r="O26" s="213"/>
      <c r="P26" s="213"/>
      <c r="Q26" s="213"/>
      <c r="R26" s="213"/>
      <c r="S26" s="213"/>
      <c r="T26" s="213"/>
      <c r="U26" s="213"/>
      <c r="V26" s="214"/>
    </row>
    <row r="27" spans="2:22" s="1" customFormat="1" ht="14.25" customHeight="1">
      <c r="K27" s="41"/>
      <c r="L27" s="212"/>
      <c r="M27" s="213"/>
      <c r="N27" s="213"/>
      <c r="O27" s="213"/>
      <c r="P27" s="213"/>
      <c r="Q27" s="213"/>
      <c r="R27" s="213"/>
      <c r="S27" s="213"/>
      <c r="T27" s="213"/>
      <c r="U27" s="213"/>
      <c r="V27" s="214"/>
    </row>
    <row r="28" spans="2:22" s="1" customFormat="1" ht="13.5" customHeight="1">
      <c r="L28" s="212"/>
      <c r="M28" s="213"/>
      <c r="N28" s="213"/>
      <c r="O28" s="213"/>
      <c r="P28" s="213"/>
      <c r="Q28" s="213"/>
      <c r="R28" s="213"/>
      <c r="S28" s="213"/>
      <c r="T28" s="213"/>
      <c r="U28" s="213"/>
      <c r="V28" s="214"/>
    </row>
    <row r="29" spans="2:22" s="1" customFormat="1" ht="13.5" customHeight="1">
      <c r="L29" s="212"/>
      <c r="M29" s="213"/>
      <c r="N29" s="213"/>
      <c r="O29" s="213"/>
      <c r="P29" s="213"/>
      <c r="Q29" s="213"/>
      <c r="R29" s="213"/>
      <c r="S29" s="213"/>
      <c r="T29" s="213"/>
      <c r="U29" s="213"/>
      <c r="V29" s="214"/>
    </row>
    <row r="30" spans="2:22" s="1" customFormat="1" ht="13.5" customHeight="1">
      <c r="L30" s="212"/>
      <c r="M30" s="213"/>
      <c r="N30" s="213"/>
      <c r="O30" s="213"/>
      <c r="P30" s="213"/>
      <c r="Q30" s="213"/>
      <c r="R30" s="213"/>
      <c r="S30" s="213"/>
      <c r="T30" s="213"/>
      <c r="U30" s="213"/>
      <c r="V30" s="214"/>
    </row>
    <row r="31" spans="2:22" s="1" customFormat="1" ht="13.5" customHeight="1">
      <c r="L31" s="212"/>
      <c r="M31" s="213"/>
      <c r="N31" s="213"/>
      <c r="O31" s="213"/>
      <c r="P31" s="213"/>
      <c r="Q31" s="213"/>
      <c r="R31" s="213"/>
      <c r="S31" s="213"/>
      <c r="T31" s="213"/>
      <c r="U31" s="213"/>
      <c r="V31" s="214"/>
    </row>
    <row r="32" spans="2:22" s="1" customFormat="1" ht="13.5" customHeight="1">
      <c r="B32" s="5" t="s">
        <v>7</v>
      </c>
      <c r="K32" s="33"/>
      <c r="L32" s="212"/>
      <c r="M32" s="213"/>
      <c r="N32" s="213"/>
      <c r="O32" s="213"/>
      <c r="P32" s="213"/>
      <c r="Q32" s="213"/>
      <c r="R32" s="213"/>
      <c r="S32" s="213"/>
      <c r="T32" s="213"/>
      <c r="U32" s="213"/>
      <c r="V32" s="214"/>
    </row>
    <row r="33" spans="2:22" s="1" customFormat="1" ht="13.5" customHeight="1">
      <c r="B33" s="204" t="s">
        <v>57</v>
      </c>
      <c r="C33" s="206" t="s">
        <v>8</v>
      </c>
      <c r="D33" s="206" t="s">
        <v>9</v>
      </c>
      <c r="E33" s="206" t="s">
        <v>58</v>
      </c>
      <c r="F33" s="206" t="s">
        <v>11</v>
      </c>
      <c r="G33" s="206" t="s">
        <v>12</v>
      </c>
      <c r="H33" s="207" t="s">
        <v>13</v>
      </c>
      <c r="I33" s="208"/>
      <c r="J33" s="208"/>
      <c r="K33" s="42"/>
      <c r="L33" s="212"/>
      <c r="M33" s="213"/>
      <c r="N33" s="213"/>
      <c r="O33" s="213"/>
      <c r="P33" s="213"/>
      <c r="Q33" s="213"/>
      <c r="R33" s="213"/>
      <c r="S33" s="213"/>
      <c r="T33" s="213"/>
      <c r="U33" s="213"/>
      <c r="V33" s="214"/>
    </row>
    <row r="34" spans="2:22" s="1" customFormat="1" ht="13.5" customHeight="1">
      <c r="B34" s="204"/>
      <c r="C34" s="206"/>
      <c r="D34" s="206"/>
      <c r="E34" s="206"/>
      <c r="F34" s="206"/>
      <c r="G34" s="206"/>
      <c r="H34" s="6" t="s">
        <v>43</v>
      </c>
      <c r="I34" s="7" t="s">
        <v>59</v>
      </c>
      <c r="J34" s="29" t="s">
        <v>44</v>
      </c>
      <c r="L34" s="212"/>
      <c r="M34" s="213"/>
      <c r="N34" s="213"/>
      <c r="O34" s="213"/>
      <c r="P34" s="213"/>
      <c r="Q34" s="213"/>
      <c r="R34" s="213"/>
      <c r="S34" s="213"/>
      <c r="T34" s="213"/>
      <c r="U34" s="213"/>
      <c r="V34" s="214"/>
    </row>
    <row r="35" spans="2:22" s="1" customFormat="1" ht="13.5" customHeight="1">
      <c r="B35" s="183" t="s">
        <v>642</v>
      </c>
      <c r="C35" s="184">
        <f>SUM(C55:C59)</f>
        <v>0</v>
      </c>
      <c r="D35" s="184">
        <f>SUM(D55:D59)</f>
        <v>0</v>
      </c>
      <c r="E35" s="8">
        <f t="shared" ref="E35:E39" si="0">IFERROR(D35/C35,)</f>
        <v>0</v>
      </c>
      <c r="F35" s="2">
        <f t="shared" ref="F35:F39" si="1">IFERROR(G35/D35,0)</f>
        <v>0</v>
      </c>
      <c r="G35" s="184">
        <f>SUM(G55:G59)</f>
        <v>0</v>
      </c>
      <c r="H35" s="184">
        <f>SUM(H55:H59)</f>
        <v>0</v>
      </c>
      <c r="I35" s="8">
        <f>IFERROR(H35/D35,0)</f>
        <v>0</v>
      </c>
      <c r="J35" s="2">
        <f>IFERROR(G35/H35,0)</f>
        <v>0</v>
      </c>
      <c r="L35" s="212"/>
      <c r="M35" s="213"/>
      <c r="N35" s="213"/>
      <c r="O35" s="213"/>
      <c r="P35" s="213"/>
      <c r="Q35" s="213"/>
      <c r="R35" s="213"/>
      <c r="S35" s="213"/>
      <c r="T35" s="213"/>
      <c r="U35" s="213"/>
      <c r="V35" s="214"/>
    </row>
    <row r="36" spans="2:22" s="1" customFormat="1" ht="13.5" customHeight="1">
      <c r="B36" s="183" t="s">
        <v>643</v>
      </c>
      <c r="C36" s="184">
        <f>SUM(C60:C66)</f>
        <v>0</v>
      </c>
      <c r="D36" s="184">
        <f>SUM(D60:D66)</f>
        <v>0</v>
      </c>
      <c r="E36" s="8">
        <f t="shared" si="0"/>
        <v>0</v>
      </c>
      <c r="F36" s="3">
        <f t="shared" si="1"/>
        <v>0</v>
      </c>
      <c r="G36" s="184">
        <f>SUM(G60:G66)</f>
        <v>0</v>
      </c>
      <c r="H36" s="184">
        <f>SUM(H60:H66)</f>
        <v>0</v>
      </c>
      <c r="I36" s="8">
        <f>IFERROR(H36/D36,0)</f>
        <v>0</v>
      </c>
      <c r="J36" s="2">
        <f>IFERROR(G36/H36,0)</f>
        <v>0</v>
      </c>
      <c r="L36" s="212"/>
      <c r="M36" s="213"/>
      <c r="N36" s="213"/>
      <c r="O36" s="213"/>
      <c r="P36" s="213"/>
      <c r="Q36" s="213"/>
      <c r="R36" s="213"/>
      <c r="S36" s="213"/>
      <c r="T36" s="213"/>
      <c r="U36" s="213"/>
      <c r="V36" s="214"/>
    </row>
    <row r="37" spans="2:22" s="1" customFormat="1" ht="13.5" customHeight="1">
      <c r="B37" s="183" t="s">
        <v>644</v>
      </c>
      <c r="C37" s="184">
        <f>SUM(C67:C73)</f>
        <v>0</v>
      </c>
      <c r="D37" s="184">
        <f>SUM(D67:D73)</f>
        <v>0</v>
      </c>
      <c r="E37" s="8">
        <f t="shared" si="0"/>
        <v>0</v>
      </c>
      <c r="F37" s="3">
        <f>IFERROR(G37/D37,0)</f>
        <v>0</v>
      </c>
      <c r="G37" s="184">
        <f>SUM(G67:G73)</f>
        <v>0</v>
      </c>
      <c r="H37" s="184">
        <f>SUM(H67:H73)</f>
        <v>0</v>
      </c>
      <c r="I37" s="8">
        <f>IFERROR(H37/D37,0)</f>
        <v>0</v>
      </c>
      <c r="J37" s="2">
        <f>IFERROR(G37/H37,0)</f>
        <v>0</v>
      </c>
      <c r="L37" s="212"/>
      <c r="M37" s="213"/>
      <c r="N37" s="213"/>
      <c r="O37" s="213"/>
      <c r="P37" s="213"/>
      <c r="Q37" s="213"/>
      <c r="R37" s="213"/>
      <c r="S37" s="213"/>
      <c r="T37" s="213"/>
      <c r="U37" s="213"/>
      <c r="V37" s="214"/>
    </row>
    <row r="38" spans="2:22" s="1" customFormat="1" ht="13.5" customHeight="1">
      <c r="B38" s="183" t="s">
        <v>645</v>
      </c>
      <c r="C38" s="184">
        <f>SUM(C74:C80)</f>
        <v>0</v>
      </c>
      <c r="D38" s="184">
        <f>SUM(D74:D80)</f>
        <v>0</v>
      </c>
      <c r="E38" s="8">
        <f t="shared" si="0"/>
        <v>0</v>
      </c>
      <c r="F38" s="3">
        <f t="shared" si="1"/>
        <v>0</v>
      </c>
      <c r="G38" s="184">
        <f>SUM(G74:G80)</f>
        <v>0</v>
      </c>
      <c r="H38" s="184">
        <f>SUM(H74:H80)</f>
        <v>0</v>
      </c>
      <c r="I38" s="8">
        <f>IFERROR(H38/D38,0)</f>
        <v>0</v>
      </c>
      <c r="J38" s="2">
        <f>IFERROR(G38/H38,0)</f>
        <v>0</v>
      </c>
      <c r="K38" s="20"/>
      <c r="L38" s="212"/>
      <c r="M38" s="213"/>
      <c r="N38" s="213"/>
      <c r="O38" s="213"/>
      <c r="P38" s="213"/>
      <c r="Q38" s="213"/>
      <c r="R38" s="213"/>
      <c r="S38" s="213"/>
      <c r="T38" s="213"/>
      <c r="U38" s="213"/>
      <c r="V38" s="214"/>
    </row>
    <row r="39" spans="2:22" s="1" customFormat="1" ht="13.5" customHeight="1">
      <c r="B39" s="183" t="s">
        <v>646</v>
      </c>
      <c r="C39" s="184">
        <f>SUM(C81:C85)</f>
        <v>0</v>
      </c>
      <c r="D39" s="184">
        <f>SUM(D81:D85)</f>
        <v>0</v>
      </c>
      <c r="E39" s="8">
        <f t="shared" si="0"/>
        <v>0</v>
      </c>
      <c r="F39" s="3">
        <f t="shared" si="1"/>
        <v>0</v>
      </c>
      <c r="G39" s="184">
        <f>SUM(G81:G85)</f>
        <v>0</v>
      </c>
      <c r="H39" s="184">
        <f>SUM(H81:H85)</f>
        <v>0</v>
      </c>
      <c r="I39" s="8">
        <f>IFERROR(H39/D39,0)</f>
        <v>0</v>
      </c>
      <c r="J39" s="2">
        <f>IFERROR(G39/H39,0)</f>
        <v>0</v>
      </c>
      <c r="L39" s="212"/>
      <c r="M39" s="213"/>
      <c r="N39" s="213"/>
      <c r="O39" s="213"/>
      <c r="P39" s="213"/>
      <c r="Q39" s="213"/>
      <c r="R39" s="213"/>
      <c r="S39" s="213"/>
      <c r="T39" s="213"/>
      <c r="U39" s="213"/>
      <c r="V39" s="214"/>
    </row>
    <row r="40" spans="2:22" s="1" customFormat="1" ht="13.5" customHeight="1">
      <c r="B40" s="185" t="s">
        <v>16</v>
      </c>
      <c r="C40" s="30" t="str">
        <f>IFERROR(C39/C38-1,"-")</f>
        <v>-</v>
      </c>
      <c r="D40" s="30" t="str">
        <f t="shared" ref="D40:J40" si="2">IFERROR(D39/D38-1,"-")</f>
        <v>-</v>
      </c>
      <c r="E40" s="30" t="str">
        <f t="shared" si="2"/>
        <v>-</v>
      </c>
      <c r="F40" s="30" t="str">
        <f t="shared" si="2"/>
        <v>-</v>
      </c>
      <c r="G40" s="30" t="str">
        <f t="shared" si="2"/>
        <v>-</v>
      </c>
      <c r="H40" s="30" t="str">
        <f t="shared" si="2"/>
        <v>-</v>
      </c>
      <c r="I40" s="30" t="str">
        <f t="shared" si="2"/>
        <v>-</v>
      </c>
      <c r="J40" s="30" t="str">
        <f t="shared" si="2"/>
        <v>-</v>
      </c>
      <c r="L40" s="212"/>
      <c r="M40" s="213"/>
      <c r="N40" s="213"/>
      <c r="O40" s="213"/>
      <c r="P40" s="213"/>
      <c r="Q40" s="213"/>
      <c r="R40" s="213"/>
      <c r="S40" s="213"/>
      <c r="T40" s="213"/>
      <c r="U40" s="213"/>
      <c r="V40" s="214"/>
    </row>
    <row r="41" spans="2:22" s="1" customFormat="1" ht="14.25" customHeight="1" thickBot="1">
      <c r="B41" s="19"/>
      <c r="K41" s="20"/>
      <c r="L41" s="215"/>
      <c r="M41" s="216"/>
      <c r="N41" s="216"/>
      <c r="O41" s="216"/>
      <c r="P41" s="216"/>
      <c r="Q41" s="216"/>
      <c r="R41" s="216"/>
      <c r="S41" s="216"/>
      <c r="T41" s="216"/>
      <c r="U41" s="216"/>
      <c r="V41" s="217"/>
    </row>
    <row r="42" spans="2:22" s="1" customFormat="1" ht="13.5" hidden="1" customHeight="1">
      <c r="B42" s="5" t="s">
        <v>26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2:22" s="1" customFormat="1" ht="13.5" hidden="1" customHeight="1">
      <c r="B43" s="204" t="s">
        <v>0</v>
      </c>
      <c r="C43" s="206" t="s">
        <v>8</v>
      </c>
      <c r="D43" s="206" t="s">
        <v>9</v>
      </c>
      <c r="E43" s="206" t="s">
        <v>10</v>
      </c>
      <c r="F43" s="206" t="s">
        <v>11</v>
      </c>
      <c r="G43" s="206" t="s">
        <v>12</v>
      </c>
      <c r="H43" s="207" t="s">
        <v>13</v>
      </c>
      <c r="I43" s="208"/>
      <c r="J43" s="20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</row>
    <row r="44" spans="2:22" s="1" customFormat="1" ht="13.5" hidden="1" customHeight="1">
      <c r="B44" s="204"/>
      <c r="C44" s="206"/>
      <c r="D44" s="206"/>
      <c r="E44" s="206"/>
      <c r="F44" s="206"/>
      <c r="G44" s="206"/>
      <c r="H44" s="6" t="s">
        <v>27</v>
      </c>
      <c r="I44" s="7" t="s">
        <v>14</v>
      </c>
      <c r="J44" s="29" t="s">
        <v>15</v>
      </c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</row>
    <row r="45" spans="2:22" s="1" customFormat="1" ht="13.5" hidden="1" customHeight="1">
      <c r="B45" s="4" t="s">
        <v>29</v>
      </c>
      <c r="C45" s="23" t="e">
        <f>SUMIFS(#REF!,#REF!,"파워링크",#REF!,구글_Summary!$B45)</f>
        <v>#REF!</v>
      </c>
      <c r="D45" s="23" t="e">
        <f>SUMIFS(#REF!,#REF!,"파워링크",#REF!,구글_Summary!$B45)</f>
        <v>#REF!</v>
      </c>
      <c r="E45" s="17">
        <f t="shared" ref="E45:E50" si="3">IFERROR(D45/C45,)</f>
        <v>0</v>
      </c>
      <c r="F45" s="16">
        <f t="shared" ref="F45:F50" si="4">IFERROR(G45/D45,0)</f>
        <v>0</v>
      </c>
      <c r="G45" s="23" t="e">
        <f>SUMIFS(#REF!,#REF!,"파워링크",#REF!,구글_Summary!$B45)</f>
        <v>#REF!</v>
      </c>
      <c r="H45" s="23" t="e">
        <f>SUMIFS(#REF!,#REF!,구글_Summary!$B45,#REF!,"파워링크")</f>
        <v>#REF!</v>
      </c>
      <c r="I45" s="8">
        <f t="shared" ref="I45:I50" si="5">IFERROR(H45/D45,0)</f>
        <v>0</v>
      </c>
      <c r="J45" s="2">
        <f t="shared" ref="J45:J50" si="6">IFERROR(G45/H45,0)</f>
        <v>0</v>
      </c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</row>
    <row r="46" spans="2:22" s="1" customFormat="1" ht="13.5" hidden="1" customHeight="1">
      <c r="B46" s="4" t="s">
        <v>30</v>
      </c>
      <c r="C46" s="23" t="e">
        <f>SUMIFS(#REF!,#REF!,"파워링크",#REF!,구글_Summary!$B46)</f>
        <v>#REF!</v>
      </c>
      <c r="D46" s="23" t="e">
        <f>SUMIFS(#REF!,#REF!,"파워링크",#REF!,구글_Summary!$B46)</f>
        <v>#REF!</v>
      </c>
      <c r="E46" s="17">
        <f t="shared" si="3"/>
        <v>0</v>
      </c>
      <c r="F46" s="16">
        <f t="shared" si="4"/>
        <v>0</v>
      </c>
      <c r="G46" s="23" t="e">
        <f>SUMIFS(#REF!,#REF!,"파워링크",#REF!,구글_Summary!$B46)</f>
        <v>#REF!</v>
      </c>
      <c r="H46" s="23" t="e">
        <f>SUMIFS(#REF!,#REF!,구글_Summary!$B46,#REF!,"파워링크")</f>
        <v>#REF!</v>
      </c>
      <c r="I46" s="8">
        <f t="shared" si="5"/>
        <v>0</v>
      </c>
      <c r="J46" s="2">
        <f t="shared" si="6"/>
        <v>0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2:22" s="1" customFormat="1" ht="13.5" hidden="1" customHeight="1">
      <c r="B47" s="4" t="s">
        <v>32</v>
      </c>
      <c r="C47" s="23" t="e">
        <f>SUMIFS(#REF!,#REF!,"파워링크",#REF!,구글_Summary!$B47)</f>
        <v>#REF!</v>
      </c>
      <c r="D47" s="23" t="e">
        <f>SUMIFS(#REF!,#REF!,"파워링크",#REF!,구글_Summary!$B47)</f>
        <v>#REF!</v>
      </c>
      <c r="E47" s="17">
        <f t="shared" si="3"/>
        <v>0</v>
      </c>
      <c r="F47" s="16">
        <f t="shared" si="4"/>
        <v>0</v>
      </c>
      <c r="G47" s="23" t="e">
        <f>SUMIFS(#REF!,#REF!,"파워링크",#REF!,구글_Summary!$B47)</f>
        <v>#REF!</v>
      </c>
      <c r="H47" s="23" t="e">
        <f>SUMIFS(#REF!,#REF!,구글_Summary!$B47,#REF!,"파워링크")</f>
        <v>#REF!</v>
      </c>
      <c r="I47" s="8">
        <f t="shared" si="5"/>
        <v>0</v>
      </c>
      <c r="J47" s="2">
        <f t="shared" si="6"/>
        <v>0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2:22" s="1" customFormat="1" ht="13.5" hidden="1" customHeight="1">
      <c r="B48" s="4" t="s">
        <v>33</v>
      </c>
      <c r="C48" s="23" t="e">
        <f>SUMIFS(#REF!,#REF!,"파워링크",#REF!,구글_Summary!$B48)</f>
        <v>#REF!</v>
      </c>
      <c r="D48" s="23" t="e">
        <f>SUMIFS(#REF!,#REF!,"파워링크",#REF!,구글_Summary!$B48)</f>
        <v>#REF!</v>
      </c>
      <c r="E48" s="17">
        <f t="shared" si="3"/>
        <v>0</v>
      </c>
      <c r="F48" s="16">
        <f t="shared" si="4"/>
        <v>0</v>
      </c>
      <c r="G48" s="23" t="e">
        <f>SUMIFS(#REF!,#REF!,"파워링크",#REF!,구글_Summary!$B48)</f>
        <v>#REF!</v>
      </c>
      <c r="H48" s="23" t="e">
        <f>SUMIFS(#REF!,#REF!,구글_Summary!$B48,#REF!,"파워링크")</f>
        <v>#REF!</v>
      </c>
      <c r="I48" s="8">
        <f t="shared" si="5"/>
        <v>0</v>
      </c>
      <c r="J48" s="2">
        <f t="shared" si="6"/>
        <v>0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2:22" s="1" customFormat="1" ht="13.5" hidden="1" customHeight="1">
      <c r="B49" s="4" t="s">
        <v>31</v>
      </c>
      <c r="C49" s="23" t="e">
        <f>SUMIFS(#REF!,#REF!,"파워링크",#REF!,구글_Summary!$B49)</f>
        <v>#REF!</v>
      </c>
      <c r="D49" s="23" t="e">
        <f>SUMIFS(#REF!,#REF!,"파워링크",#REF!,구글_Summary!$B49)</f>
        <v>#REF!</v>
      </c>
      <c r="E49" s="17">
        <f t="shared" si="3"/>
        <v>0</v>
      </c>
      <c r="F49" s="16">
        <f t="shared" si="4"/>
        <v>0</v>
      </c>
      <c r="G49" s="23" t="e">
        <f>SUMIFS(#REF!,#REF!,"파워링크",#REF!,구글_Summary!$B49)</f>
        <v>#REF!</v>
      </c>
      <c r="H49" s="23" t="e">
        <f>SUMIFS(#REF!,#REF!,구글_Summary!$B49,#REF!,"파워링크")</f>
        <v>#REF!</v>
      </c>
      <c r="I49" s="8">
        <f t="shared" si="5"/>
        <v>0</v>
      </c>
      <c r="J49" s="2">
        <f t="shared" si="6"/>
        <v>0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2:22" s="1" customFormat="1" ht="13.5" hidden="1" customHeight="1">
      <c r="B50" s="9" t="s">
        <v>17</v>
      </c>
      <c r="C50" s="10" t="e">
        <f>SUM(C45:C49)</f>
        <v>#REF!</v>
      </c>
      <c r="D50" s="10" t="e">
        <f>SUM(D45:D49)</f>
        <v>#REF!</v>
      </c>
      <c r="E50" s="11">
        <f t="shared" si="3"/>
        <v>0</v>
      </c>
      <c r="F50" s="10">
        <f t="shared" si="4"/>
        <v>0</v>
      </c>
      <c r="G50" s="10" t="e">
        <f>SUM(G45:G49)</f>
        <v>#REF!</v>
      </c>
      <c r="H50" s="10" t="e">
        <f>SUM(H45:H49)</f>
        <v>#REF!</v>
      </c>
      <c r="I50" s="11">
        <f t="shared" si="5"/>
        <v>0</v>
      </c>
      <c r="J50" s="10">
        <f t="shared" si="6"/>
        <v>0</v>
      </c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</row>
    <row r="51" spans="2:22" s="18" customFormat="1">
      <c r="B51" s="5" t="s">
        <v>18</v>
      </c>
      <c r="C51" s="1"/>
      <c r="D51" s="1"/>
      <c r="E51" s="1"/>
      <c r="F51" s="1"/>
      <c r="G51" s="1"/>
      <c r="H51" s="1"/>
      <c r="I51" s="1"/>
      <c r="J51" s="1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</row>
    <row r="52" spans="2:22" s="13" customFormat="1" ht="16.5" customHeight="1">
      <c r="B52" s="204" t="s">
        <v>56</v>
      </c>
      <c r="C52" s="206" t="s">
        <v>8</v>
      </c>
      <c r="D52" s="206" t="s">
        <v>9</v>
      </c>
      <c r="E52" s="206" t="s">
        <v>58</v>
      </c>
      <c r="F52" s="206" t="s">
        <v>11</v>
      </c>
      <c r="G52" s="206" t="s">
        <v>12</v>
      </c>
      <c r="H52" s="207" t="s">
        <v>13</v>
      </c>
      <c r="I52" s="208"/>
      <c r="J52" s="208"/>
    </row>
    <row r="53" spans="2:22" s="1" customFormat="1">
      <c r="B53" s="204"/>
      <c r="C53" s="206"/>
      <c r="D53" s="206"/>
      <c r="E53" s="206"/>
      <c r="F53" s="206"/>
      <c r="G53" s="206"/>
      <c r="H53" s="6" t="s">
        <v>43</v>
      </c>
      <c r="I53" s="7" t="s">
        <v>59</v>
      </c>
      <c r="J53" s="29" t="s">
        <v>44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2:22" s="1" customFormat="1">
      <c r="B54" s="186" t="s">
        <v>19</v>
      </c>
      <c r="C54" s="187">
        <f>SUM(C55:C85)</f>
        <v>0</v>
      </c>
      <c r="D54" s="187">
        <f>SUM(D55:D85)</f>
        <v>0</v>
      </c>
      <c r="E54" s="188">
        <f t="shared" ref="E54:E85" si="7">IFERROR(D54/C54,)</f>
        <v>0</v>
      </c>
      <c r="F54" s="187">
        <f t="shared" ref="F54" si="8">IFERROR(G54/D54,0)</f>
        <v>0</v>
      </c>
      <c r="G54" s="187">
        <f>SUM(G55:G85)</f>
        <v>0</v>
      </c>
      <c r="H54" s="187">
        <f>SUM(H55:H85)</f>
        <v>0</v>
      </c>
      <c r="I54" s="188">
        <f t="shared" ref="I54:I85" si="9">IFERROR(H54/D54,0)</f>
        <v>0</v>
      </c>
      <c r="J54" s="187">
        <f t="shared" ref="J54:J85" si="10">IFERROR(G54/H54,0)</f>
        <v>0</v>
      </c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</row>
    <row r="55" spans="2:22" s="18" customFormat="1">
      <c r="B55" s="177">
        <v>45962</v>
      </c>
      <c r="C55" s="178">
        <f>SUMIFS('구글 RAW'!E:E,'구글 RAW'!$A:$A,$B55,'구글 RAW'!$D:$D,"검색광고")</f>
        <v>0</v>
      </c>
      <c r="D55" s="179">
        <f>SUMIFS('구글 RAW'!F:F,'구글 RAW'!$A:$A,$B55,'구글 RAW'!$D:$D,"검색광고")</f>
        <v>0</v>
      </c>
      <c r="E55" s="180">
        <f t="shared" si="7"/>
        <v>0</v>
      </c>
      <c r="F55" s="181">
        <f>IFERROR(G55/D55,0)</f>
        <v>0</v>
      </c>
      <c r="G55" s="179">
        <f>SUMIFS('구글 RAW'!H:H,'구글 RAW'!$A:$A,$B55,'구글 RAW'!$D:$D,"검색광고")</f>
        <v>0</v>
      </c>
      <c r="H55" s="179">
        <f>SUMIFS('구글 RAW'!I:I,'구글 RAW'!$A:$A,$B55,'구글 RAW'!$D:$D,"검색광고")</f>
        <v>0</v>
      </c>
      <c r="I55" s="180">
        <f t="shared" si="9"/>
        <v>0</v>
      </c>
      <c r="J55" s="181">
        <f t="shared" si="10"/>
        <v>0</v>
      </c>
    </row>
    <row r="56" spans="2:22" s="13" customFormat="1">
      <c r="B56" s="171">
        <v>45963</v>
      </c>
      <c r="C56" s="172">
        <f>SUMIFS('구글 RAW'!E:E,'구글 RAW'!$A:$A,$B56,'구글 RAW'!$D:$D,"검색광고")</f>
        <v>0</v>
      </c>
      <c r="D56" s="173">
        <f>SUMIFS('구글 RAW'!F:F,'구글 RAW'!$A:$A,$B56,'구글 RAW'!$D:$D,"검색광고")</f>
        <v>0</v>
      </c>
      <c r="E56" s="174">
        <f t="shared" si="7"/>
        <v>0</v>
      </c>
      <c r="F56" s="175">
        <f t="shared" ref="F56:F85" si="11">IFERROR(G56/D56,0)</f>
        <v>0</v>
      </c>
      <c r="G56" s="173">
        <f>SUMIFS('구글 RAW'!H:H,'구글 RAW'!$A:$A,$B56,'구글 RAW'!$D:$D,"검색광고")</f>
        <v>0</v>
      </c>
      <c r="H56" s="176">
        <f>SUMIFS('구글 RAW'!I:I,'구글 RAW'!$A:$A,$B56,'구글 RAW'!$D:$D,"검색광고")</f>
        <v>0</v>
      </c>
      <c r="I56" s="174">
        <f t="shared" si="9"/>
        <v>0</v>
      </c>
      <c r="J56" s="175">
        <f t="shared" si="10"/>
        <v>0</v>
      </c>
    </row>
    <row r="57" spans="2:22" s="129" customFormat="1">
      <c r="B57" s="183">
        <v>45964</v>
      </c>
      <c r="C57" s="170">
        <f>SUMIFS('구글 RAW'!E:E,'구글 RAW'!$A:$A,$B57,'구글 RAW'!$D:$D,"검색광고")</f>
        <v>0</v>
      </c>
      <c r="D57" s="155">
        <f>SUMIFS('구글 RAW'!F:F,'구글 RAW'!$A:$A,$B57,'구글 RAW'!$D:$D,"검색광고")</f>
        <v>0</v>
      </c>
      <c r="E57" s="17">
        <f t="shared" si="7"/>
        <v>0</v>
      </c>
      <c r="F57" s="16">
        <f t="shared" si="11"/>
        <v>0</v>
      </c>
      <c r="G57" s="155">
        <f>SUMIFS('구글 RAW'!H:H,'구글 RAW'!$A:$A,$B57,'구글 RAW'!$D:$D,"검색광고")</f>
        <v>0</v>
      </c>
      <c r="H57" s="156">
        <f>SUMIFS('구글 RAW'!I:I,'구글 RAW'!$A:$A,$B57,'구글 RAW'!$D:$D,"검색광고")</f>
        <v>0</v>
      </c>
      <c r="I57" s="17">
        <f t="shared" si="9"/>
        <v>0</v>
      </c>
      <c r="J57" s="16">
        <f t="shared" si="10"/>
        <v>0</v>
      </c>
      <c r="K57" s="1"/>
    </row>
    <row r="58" spans="2:22" s="128" customFormat="1">
      <c r="B58" s="183">
        <v>45965</v>
      </c>
      <c r="C58" s="170">
        <f>SUMIFS('구글 RAW'!E:E,'구글 RAW'!$A:$A,$B58,'구글 RAW'!$D:$D,"검색광고")</f>
        <v>0</v>
      </c>
      <c r="D58" s="155">
        <f>SUMIFS('구글 RAW'!F:F,'구글 RAW'!$A:$A,$B58,'구글 RAW'!$D:$D,"검색광고")</f>
        <v>0</v>
      </c>
      <c r="E58" s="17">
        <f t="shared" si="7"/>
        <v>0</v>
      </c>
      <c r="F58" s="16">
        <f t="shared" si="11"/>
        <v>0</v>
      </c>
      <c r="G58" s="155">
        <f>SUMIFS('구글 RAW'!H:H,'구글 RAW'!$A:$A,$B58,'구글 RAW'!$D:$D,"검색광고")</f>
        <v>0</v>
      </c>
      <c r="H58" s="156">
        <f>SUMIFS('구글 RAW'!I:I,'구글 RAW'!$A:$A,$B58,'구글 RAW'!$D:$D,"검색광고")</f>
        <v>0</v>
      </c>
      <c r="I58" s="17">
        <f t="shared" si="9"/>
        <v>0</v>
      </c>
      <c r="J58" s="16">
        <f t="shared" si="10"/>
        <v>0</v>
      </c>
      <c r="K58" s="1"/>
    </row>
    <row r="59" spans="2:22" s="129" customFormat="1">
      <c r="B59" s="183">
        <v>45966</v>
      </c>
      <c r="C59" s="170">
        <f>SUMIFS('구글 RAW'!E:E,'구글 RAW'!$A:$A,$B59,'구글 RAW'!$D:$D,"검색광고")</f>
        <v>0</v>
      </c>
      <c r="D59" s="155">
        <f>SUMIFS('구글 RAW'!F:F,'구글 RAW'!$A:$A,$B59,'구글 RAW'!$D:$D,"검색광고")</f>
        <v>0</v>
      </c>
      <c r="E59" s="17">
        <f t="shared" si="7"/>
        <v>0</v>
      </c>
      <c r="F59" s="16">
        <f t="shared" si="11"/>
        <v>0</v>
      </c>
      <c r="G59" s="155">
        <f>SUMIFS('구글 RAW'!H:H,'구글 RAW'!$A:$A,$B59,'구글 RAW'!$D:$D,"검색광고")</f>
        <v>0</v>
      </c>
      <c r="H59" s="156">
        <f>SUMIFS('구글 RAW'!I:I,'구글 RAW'!$A:$A,$B59,'구글 RAW'!$D:$D,"검색광고")</f>
        <v>0</v>
      </c>
      <c r="I59" s="17">
        <f t="shared" si="9"/>
        <v>0</v>
      </c>
      <c r="J59" s="16">
        <f t="shared" si="10"/>
        <v>0</v>
      </c>
      <c r="K59" s="1"/>
    </row>
    <row r="60" spans="2:22" s="129" customFormat="1" ht="12.75" customHeight="1">
      <c r="B60" s="183">
        <v>45967</v>
      </c>
      <c r="C60" s="170">
        <f>SUMIFS('구글 RAW'!E:E,'구글 RAW'!$A:$A,$B60,'구글 RAW'!$D:$D,"검색광고")</f>
        <v>0</v>
      </c>
      <c r="D60" s="155">
        <f>SUMIFS('구글 RAW'!F:F,'구글 RAW'!$A:$A,$B60,'구글 RAW'!$D:$D,"검색광고")</f>
        <v>0</v>
      </c>
      <c r="E60" s="17">
        <f t="shared" si="7"/>
        <v>0</v>
      </c>
      <c r="F60" s="16">
        <f t="shared" si="11"/>
        <v>0</v>
      </c>
      <c r="G60" s="155">
        <f>SUMIFS('구글 RAW'!H:H,'구글 RAW'!$A:$A,$B60,'구글 RAW'!$D:$D,"검색광고")</f>
        <v>0</v>
      </c>
      <c r="H60" s="156">
        <f>SUMIFS('구글 RAW'!I:I,'구글 RAW'!$A:$A,$B60,'구글 RAW'!$D:$D,"검색광고")</f>
        <v>0</v>
      </c>
      <c r="I60" s="17">
        <f t="shared" si="9"/>
        <v>0</v>
      </c>
      <c r="J60" s="16">
        <f t="shared" si="10"/>
        <v>0</v>
      </c>
      <c r="K60" s="1"/>
    </row>
    <row r="61" spans="2:22" s="128" customFormat="1">
      <c r="B61" s="183">
        <v>45968</v>
      </c>
      <c r="C61" s="170">
        <f>SUMIFS('구글 RAW'!E:E,'구글 RAW'!$A:$A,$B61,'구글 RAW'!$D:$D,"검색광고")</f>
        <v>0</v>
      </c>
      <c r="D61" s="155">
        <f>SUMIFS('구글 RAW'!F:F,'구글 RAW'!$A:$A,$B61,'구글 RAW'!$D:$D,"검색광고")</f>
        <v>0</v>
      </c>
      <c r="E61" s="17">
        <f t="shared" si="7"/>
        <v>0</v>
      </c>
      <c r="F61" s="16">
        <f t="shared" si="11"/>
        <v>0</v>
      </c>
      <c r="G61" s="155">
        <f>SUMIFS('구글 RAW'!H:H,'구글 RAW'!$A:$A,$B61,'구글 RAW'!$D:$D,"검색광고")</f>
        <v>0</v>
      </c>
      <c r="H61" s="156">
        <f>SUMIFS('구글 RAW'!I:I,'구글 RAW'!$A:$A,$B61,'구글 RAW'!$D:$D,"검색광고")</f>
        <v>0</v>
      </c>
      <c r="I61" s="17">
        <f t="shared" si="9"/>
        <v>0</v>
      </c>
      <c r="J61" s="16">
        <f t="shared" si="10"/>
        <v>0</v>
      </c>
      <c r="K61" s="1"/>
    </row>
    <row r="62" spans="2:22" s="18" customFormat="1">
      <c r="B62" s="177">
        <v>45969</v>
      </c>
      <c r="C62" s="178">
        <f>SUMIFS('구글 RAW'!E:E,'구글 RAW'!$A:$A,$B62,'구글 RAW'!$D:$D,"검색광고")</f>
        <v>0</v>
      </c>
      <c r="D62" s="179">
        <f>SUMIFS('구글 RAW'!F:F,'구글 RAW'!$A:$A,$B62,'구글 RAW'!$D:$D,"검색광고")</f>
        <v>0</v>
      </c>
      <c r="E62" s="180">
        <f t="shared" si="7"/>
        <v>0</v>
      </c>
      <c r="F62" s="181">
        <f t="shared" si="11"/>
        <v>0</v>
      </c>
      <c r="G62" s="179">
        <f>SUMIFS('구글 RAW'!H:H,'구글 RAW'!$A:$A,$B62,'구글 RAW'!$D:$D,"검색광고")</f>
        <v>0</v>
      </c>
      <c r="H62" s="182">
        <f>SUMIFS('구글 RAW'!I:I,'구글 RAW'!$A:$A,$B62,'구글 RAW'!$D:$D,"검색광고")</f>
        <v>0</v>
      </c>
      <c r="I62" s="180">
        <f t="shared" si="9"/>
        <v>0</v>
      </c>
      <c r="J62" s="181">
        <f t="shared" si="10"/>
        <v>0</v>
      </c>
    </row>
    <row r="63" spans="2:22" s="13" customFormat="1">
      <c r="B63" s="171">
        <v>45970</v>
      </c>
      <c r="C63" s="172">
        <f>SUMIFS('구글 RAW'!E:E,'구글 RAW'!$A:$A,$B63,'구글 RAW'!$D:$D,"검색광고")</f>
        <v>0</v>
      </c>
      <c r="D63" s="173">
        <f>SUMIFS('구글 RAW'!F:F,'구글 RAW'!$A:$A,$B63,'구글 RAW'!$D:$D,"검색광고")</f>
        <v>0</v>
      </c>
      <c r="E63" s="174">
        <f t="shared" si="7"/>
        <v>0</v>
      </c>
      <c r="F63" s="175">
        <f t="shared" si="11"/>
        <v>0</v>
      </c>
      <c r="G63" s="173">
        <f>SUMIFS('구글 RAW'!H:H,'구글 RAW'!$A:$A,$B63,'구글 RAW'!$D:$D,"검색광고")</f>
        <v>0</v>
      </c>
      <c r="H63" s="176">
        <f>SUMIFS('구글 RAW'!I:I,'구글 RAW'!$A:$A,$B63,'구글 RAW'!$D:$D,"검색광고")</f>
        <v>0</v>
      </c>
      <c r="I63" s="174">
        <f t="shared" si="9"/>
        <v>0</v>
      </c>
      <c r="J63" s="175">
        <f t="shared" si="10"/>
        <v>0</v>
      </c>
    </row>
    <row r="64" spans="2:22" s="129" customFormat="1">
      <c r="B64" s="183">
        <v>45971</v>
      </c>
      <c r="C64" s="170">
        <f>SUMIFS('구글 RAW'!E:E,'구글 RAW'!$A:$A,$B64,'구글 RAW'!$D:$D,"검색광고")</f>
        <v>0</v>
      </c>
      <c r="D64" s="155">
        <f>SUMIFS('구글 RAW'!F:F,'구글 RAW'!$A:$A,$B64,'구글 RAW'!$D:$D,"검색광고")</f>
        <v>0</v>
      </c>
      <c r="E64" s="17">
        <f t="shared" si="7"/>
        <v>0</v>
      </c>
      <c r="F64" s="16">
        <f t="shared" si="11"/>
        <v>0</v>
      </c>
      <c r="G64" s="155">
        <f>SUMIFS('구글 RAW'!H:H,'구글 RAW'!$A:$A,$B64,'구글 RAW'!$D:$D,"검색광고")</f>
        <v>0</v>
      </c>
      <c r="H64" s="156">
        <f>SUMIFS('구글 RAW'!I:I,'구글 RAW'!$A:$A,$B64,'구글 RAW'!$D:$D,"검색광고")</f>
        <v>0</v>
      </c>
      <c r="I64" s="17">
        <f t="shared" si="9"/>
        <v>0</v>
      </c>
      <c r="J64" s="16">
        <f t="shared" si="10"/>
        <v>0</v>
      </c>
      <c r="K64" s="1"/>
    </row>
    <row r="65" spans="2:11" s="128" customFormat="1">
      <c r="B65" s="183">
        <v>45972</v>
      </c>
      <c r="C65" s="170">
        <f>SUMIFS('구글 RAW'!E:E,'구글 RAW'!$A:$A,$B65,'구글 RAW'!$D:$D,"검색광고")</f>
        <v>0</v>
      </c>
      <c r="D65" s="155">
        <f>SUMIFS('구글 RAW'!F:F,'구글 RAW'!$A:$A,$B65,'구글 RAW'!$D:$D,"검색광고")</f>
        <v>0</v>
      </c>
      <c r="E65" s="17">
        <f t="shared" si="7"/>
        <v>0</v>
      </c>
      <c r="F65" s="16">
        <f t="shared" si="11"/>
        <v>0</v>
      </c>
      <c r="G65" s="155">
        <f>SUMIFS('구글 RAW'!H:H,'구글 RAW'!$A:$A,$B65,'구글 RAW'!$D:$D,"검색광고")</f>
        <v>0</v>
      </c>
      <c r="H65" s="156">
        <f>SUMIFS('구글 RAW'!I:I,'구글 RAW'!$A:$A,$B65,'구글 RAW'!$D:$D,"검색광고")</f>
        <v>0</v>
      </c>
      <c r="I65" s="17">
        <f t="shared" si="9"/>
        <v>0</v>
      </c>
      <c r="J65" s="16">
        <f t="shared" si="10"/>
        <v>0</v>
      </c>
      <c r="K65" s="1"/>
    </row>
    <row r="66" spans="2:11" s="129" customFormat="1">
      <c r="B66" s="183">
        <v>45973</v>
      </c>
      <c r="C66" s="170">
        <f>SUMIFS('구글 RAW'!E:E,'구글 RAW'!$A:$A,$B66,'구글 RAW'!$D:$D,"검색광고")</f>
        <v>0</v>
      </c>
      <c r="D66" s="155">
        <f>SUMIFS('구글 RAW'!F:F,'구글 RAW'!$A:$A,$B66,'구글 RAW'!$D:$D,"검색광고")</f>
        <v>0</v>
      </c>
      <c r="E66" s="17">
        <f t="shared" si="7"/>
        <v>0</v>
      </c>
      <c r="F66" s="16">
        <f t="shared" si="11"/>
        <v>0</v>
      </c>
      <c r="G66" s="155">
        <f>SUMIFS('구글 RAW'!H:H,'구글 RAW'!$A:$A,$B66,'구글 RAW'!$D:$D,"검색광고")</f>
        <v>0</v>
      </c>
      <c r="H66" s="156">
        <f>SUMIFS('구글 RAW'!I:I,'구글 RAW'!$A:$A,$B66,'구글 RAW'!$D:$D,"검색광고")</f>
        <v>0</v>
      </c>
      <c r="I66" s="17">
        <f t="shared" si="9"/>
        <v>0</v>
      </c>
      <c r="J66" s="16">
        <f t="shared" si="10"/>
        <v>0</v>
      </c>
      <c r="K66" s="1"/>
    </row>
    <row r="67" spans="2:11" s="129" customFormat="1">
      <c r="B67" s="183">
        <v>45974</v>
      </c>
      <c r="C67" s="170">
        <f>SUMIFS('구글 RAW'!E:E,'구글 RAW'!$A:$A,$B67,'구글 RAW'!$D:$D,"검색광고")</f>
        <v>0</v>
      </c>
      <c r="D67" s="155">
        <f>SUMIFS('구글 RAW'!F:F,'구글 RAW'!$A:$A,$B67,'구글 RAW'!$D:$D,"검색광고")</f>
        <v>0</v>
      </c>
      <c r="E67" s="17">
        <f t="shared" si="7"/>
        <v>0</v>
      </c>
      <c r="F67" s="16">
        <f t="shared" si="11"/>
        <v>0</v>
      </c>
      <c r="G67" s="155">
        <f>SUMIFS('구글 RAW'!H:H,'구글 RAW'!$A:$A,$B67,'구글 RAW'!$D:$D,"검색광고")</f>
        <v>0</v>
      </c>
      <c r="H67" s="156">
        <f>SUMIFS('구글 RAW'!I:I,'구글 RAW'!$A:$A,$B67,'구글 RAW'!$D:$D,"검색광고")</f>
        <v>0</v>
      </c>
      <c r="I67" s="17">
        <f t="shared" si="9"/>
        <v>0</v>
      </c>
      <c r="J67" s="16">
        <f t="shared" si="10"/>
        <v>0</v>
      </c>
      <c r="K67" s="1"/>
    </row>
    <row r="68" spans="2:11" s="128" customFormat="1">
      <c r="B68" s="183">
        <v>45975</v>
      </c>
      <c r="C68" s="170">
        <f>SUMIFS('구글 RAW'!E:E,'구글 RAW'!$A:$A,$B68,'구글 RAW'!$D:$D,"검색광고")</f>
        <v>0</v>
      </c>
      <c r="D68" s="155">
        <f>SUMIFS('구글 RAW'!F:F,'구글 RAW'!$A:$A,$B68,'구글 RAW'!$D:$D,"검색광고")</f>
        <v>0</v>
      </c>
      <c r="E68" s="17">
        <f t="shared" si="7"/>
        <v>0</v>
      </c>
      <c r="F68" s="16">
        <f t="shared" si="11"/>
        <v>0</v>
      </c>
      <c r="G68" s="155">
        <f>SUMIFS('구글 RAW'!H:H,'구글 RAW'!$A:$A,$B68,'구글 RAW'!$D:$D,"검색광고")</f>
        <v>0</v>
      </c>
      <c r="H68" s="156">
        <f>SUMIFS('구글 RAW'!I:I,'구글 RAW'!$A:$A,$B68,'구글 RAW'!$D:$D,"검색광고")</f>
        <v>0</v>
      </c>
      <c r="I68" s="17">
        <f t="shared" si="9"/>
        <v>0</v>
      </c>
      <c r="J68" s="16">
        <f t="shared" si="10"/>
        <v>0</v>
      </c>
      <c r="K68" s="1"/>
    </row>
    <row r="69" spans="2:11" s="18" customFormat="1">
      <c r="B69" s="177">
        <v>45976</v>
      </c>
      <c r="C69" s="178">
        <f>SUMIFS('구글 RAW'!E:E,'구글 RAW'!$A:$A,$B69,'구글 RAW'!$D:$D,"검색광고")</f>
        <v>0</v>
      </c>
      <c r="D69" s="179">
        <f>SUMIFS('구글 RAW'!F:F,'구글 RAW'!$A:$A,$B69,'구글 RAW'!$D:$D,"검색광고")</f>
        <v>0</v>
      </c>
      <c r="E69" s="180">
        <f t="shared" si="7"/>
        <v>0</v>
      </c>
      <c r="F69" s="181">
        <f t="shared" si="11"/>
        <v>0</v>
      </c>
      <c r="G69" s="179">
        <f>SUMIFS('구글 RAW'!H:H,'구글 RAW'!$A:$A,$B69,'구글 RAW'!$D:$D,"검색광고")</f>
        <v>0</v>
      </c>
      <c r="H69" s="182">
        <f>SUMIFS('구글 RAW'!I:I,'구글 RAW'!$A:$A,$B69,'구글 RAW'!$D:$D,"검색광고")</f>
        <v>0</v>
      </c>
      <c r="I69" s="180">
        <f t="shared" si="9"/>
        <v>0</v>
      </c>
      <c r="J69" s="181">
        <f t="shared" si="10"/>
        <v>0</v>
      </c>
    </row>
    <row r="70" spans="2:11" s="13" customFormat="1">
      <c r="B70" s="171">
        <v>45977</v>
      </c>
      <c r="C70" s="172">
        <f>SUMIFS('구글 RAW'!E:E,'구글 RAW'!$A:$A,$B70,'구글 RAW'!$D:$D,"검색광고")</f>
        <v>0</v>
      </c>
      <c r="D70" s="173">
        <f>SUMIFS('구글 RAW'!F:F,'구글 RAW'!$A:$A,$B70,'구글 RAW'!$D:$D,"검색광고")</f>
        <v>0</v>
      </c>
      <c r="E70" s="174">
        <f t="shared" si="7"/>
        <v>0</v>
      </c>
      <c r="F70" s="175">
        <f t="shared" si="11"/>
        <v>0</v>
      </c>
      <c r="G70" s="173">
        <f>SUMIFS('구글 RAW'!H:H,'구글 RAW'!$A:$A,$B70,'구글 RAW'!$D:$D,"검색광고")</f>
        <v>0</v>
      </c>
      <c r="H70" s="176">
        <f>SUMIFS('구글 RAW'!I:I,'구글 RAW'!$A:$A,$B70,'구글 RAW'!$D:$D,"검색광고")</f>
        <v>0</v>
      </c>
      <c r="I70" s="174">
        <f t="shared" si="9"/>
        <v>0</v>
      </c>
      <c r="J70" s="175">
        <f t="shared" si="10"/>
        <v>0</v>
      </c>
    </row>
    <row r="71" spans="2:11" s="129" customFormat="1">
      <c r="B71" s="183">
        <v>45978</v>
      </c>
      <c r="C71" s="170">
        <f>SUMIFS('구글 RAW'!E:E,'구글 RAW'!$A:$A,$B71,'구글 RAW'!$D:$D,"검색광고")</f>
        <v>0</v>
      </c>
      <c r="D71" s="155">
        <f>SUMIFS('구글 RAW'!F:F,'구글 RAW'!$A:$A,$B71,'구글 RAW'!$D:$D,"검색광고")</f>
        <v>0</v>
      </c>
      <c r="E71" s="17">
        <f t="shared" si="7"/>
        <v>0</v>
      </c>
      <c r="F71" s="16">
        <f t="shared" si="11"/>
        <v>0</v>
      </c>
      <c r="G71" s="155">
        <f>SUMIFS('구글 RAW'!H:H,'구글 RAW'!$A:$A,$B71,'구글 RAW'!$D:$D,"검색광고")</f>
        <v>0</v>
      </c>
      <c r="H71" s="156">
        <f>SUMIFS('구글 RAW'!I:I,'구글 RAW'!$A:$A,$B71,'구글 RAW'!$D:$D,"검색광고")</f>
        <v>0</v>
      </c>
      <c r="I71" s="17">
        <f t="shared" si="9"/>
        <v>0</v>
      </c>
      <c r="J71" s="16">
        <f t="shared" si="10"/>
        <v>0</v>
      </c>
      <c r="K71" s="1"/>
    </row>
    <row r="72" spans="2:11" s="128" customFormat="1">
      <c r="B72" s="183">
        <v>45979</v>
      </c>
      <c r="C72" s="170">
        <f>SUMIFS('구글 RAW'!E:E,'구글 RAW'!$A:$A,$B72,'구글 RAW'!$D:$D,"검색광고")</f>
        <v>0</v>
      </c>
      <c r="D72" s="155">
        <f>SUMIFS('구글 RAW'!F:F,'구글 RAW'!$A:$A,$B72,'구글 RAW'!$D:$D,"검색광고")</f>
        <v>0</v>
      </c>
      <c r="E72" s="17">
        <f t="shared" si="7"/>
        <v>0</v>
      </c>
      <c r="F72" s="16">
        <f t="shared" si="11"/>
        <v>0</v>
      </c>
      <c r="G72" s="155">
        <f>SUMIFS('구글 RAW'!H:H,'구글 RAW'!$A:$A,$B72,'구글 RAW'!$D:$D,"검색광고")</f>
        <v>0</v>
      </c>
      <c r="H72" s="156">
        <f>SUMIFS('구글 RAW'!I:I,'구글 RAW'!$A:$A,$B72,'구글 RAW'!$D:$D,"검색광고")</f>
        <v>0</v>
      </c>
      <c r="I72" s="17">
        <f t="shared" si="9"/>
        <v>0</v>
      </c>
      <c r="J72" s="16">
        <f t="shared" si="10"/>
        <v>0</v>
      </c>
      <c r="K72" s="1"/>
    </row>
    <row r="73" spans="2:11" s="129" customFormat="1">
      <c r="B73" s="183">
        <v>45980</v>
      </c>
      <c r="C73" s="170">
        <f>SUMIFS('구글 RAW'!E:E,'구글 RAW'!$A:$A,$B73,'구글 RAW'!$D:$D,"검색광고")</f>
        <v>0</v>
      </c>
      <c r="D73" s="155">
        <f>SUMIFS('구글 RAW'!F:F,'구글 RAW'!$A:$A,$B73,'구글 RAW'!$D:$D,"검색광고")</f>
        <v>0</v>
      </c>
      <c r="E73" s="17">
        <f t="shared" si="7"/>
        <v>0</v>
      </c>
      <c r="F73" s="16">
        <f t="shared" si="11"/>
        <v>0</v>
      </c>
      <c r="G73" s="155">
        <f>SUMIFS('구글 RAW'!H:H,'구글 RAW'!$A:$A,$B73,'구글 RAW'!$D:$D,"검색광고")</f>
        <v>0</v>
      </c>
      <c r="H73" s="156">
        <f>SUMIFS('구글 RAW'!I:I,'구글 RAW'!$A:$A,$B73,'구글 RAW'!$D:$D,"검색광고")</f>
        <v>0</v>
      </c>
      <c r="I73" s="17">
        <f t="shared" si="9"/>
        <v>0</v>
      </c>
      <c r="J73" s="16">
        <f t="shared" si="10"/>
        <v>0</v>
      </c>
      <c r="K73" s="1"/>
    </row>
    <row r="74" spans="2:11" s="129" customFormat="1">
      <c r="B74" s="183">
        <v>45981</v>
      </c>
      <c r="C74" s="170">
        <f>SUMIFS('구글 RAW'!E:E,'구글 RAW'!$A:$A,$B74,'구글 RAW'!$D:$D,"검색광고")</f>
        <v>0</v>
      </c>
      <c r="D74" s="155">
        <f>SUMIFS('구글 RAW'!F:F,'구글 RAW'!$A:$A,$B74,'구글 RAW'!$D:$D,"검색광고")</f>
        <v>0</v>
      </c>
      <c r="E74" s="17">
        <f t="shared" si="7"/>
        <v>0</v>
      </c>
      <c r="F74" s="16">
        <f t="shared" si="11"/>
        <v>0</v>
      </c>
      <c r="G74" s="155">
        <f>SUMIFS('구글 RAW'!H:H,'구글 RAW'!$A:$A,$B74,'구글 RAW'!$D:$D,"검색광고")</f>
        <v>0</v>
      </c>
      <c r="H74" s="156">
        <f>SUMIFS('구글 RAW'!I:I,'구글 RAW'!$A:$A,$B74,'구글 RAW'!$D:$D,"검색광고")</f>
        <v>0</v>
      </c>
      <c r="I74" s="17">
        <f t="shared" si="9"/>
        <v>0</v>
      </c>
      <c r="J74" s="16">
        <f t="shared" si="10"/>
        <v>0</v>
      </c>
      <c r="K74" s="1"/>
    </row>
    <row r="75" spans="2:11" s="128" customFormat="1">
      <c r="B75" s="183">
        <v>45982</v>
      </c>
      <c r="C75" s="170">
        <f>SUMIFS('구글 RAW'!E:E,'구글 RAW'!$A:$A,$B75,'구글 RAW'!$D:$D,"검색광고")</f>
        <v>0</v>
      </c>
      <c r="D75" s="155">
        <f>SUMIFS('구글 RAW'!F:F,'구글 RAW'!$A:$A,$B75,'구글 RAW'!$D:$D,"검색광고")</f>
        <v>0</v>
      </c>
      <c r="E75" s="17">
        <f t="shared" si="7"/>
        <v>0</v>
      </c>
      <c r="F75" s="16">
        <f t="shared" si="11"/>
        <v>0</v>
      </c>
      <c r="G75" s="155">
        <f>SUMIFS('구글 RAW'!H:H,'구글 RAW'!$A:$A,$B75,'구글 RAW'!$D:$D,"검색광고")</f>
        <v>0</v>
      </c>
      <c r="H75" s="156">
        <f>SUMIFS('구글 RAW'!I:I,'구글 RAW'!$A:$A,$B75,'구글 RAW'!$D:$D,"검색광고")</f>
        <v>0</v>
      </c>
      <c r="I75" s="17">
        <f t="shared" si="9"/>
        <v>0</v>
      </c>
      <c r="J75" s="16">
        <f t="shared" si="10"/>
        <v>0</v>
      </c>
      <c r="K75" s="1"/>
    </row>
    <row r="76" spans="2:11" s="18" customFormat="1">
      <c r="B76" s="177">
        <v>45983</v>
      </c>
      <c r="C76" s="178">
        <f>SUMIFS('구글 RAW'!E:E,'구글 RAW'!$A:$A,$B76,'구글 RAW'!$D:$D,"검색광고")</f>
        <v>0</v>
      </c>
      <c r="D76" s="179">
        <f>SUMIFS('구글 RAW'!F:F,'구글 RAW'!$A:$A,$B76,'구글 RAW'!$D:$D,"검색광고")</f>
        <v>0</v>
      </c>
      <c r="E76" s="180">
        <f t="shared" si="7"/>
        <v>0</v>
      </c>
      <c r="F76" s="181">
        <f t="shared" si="11"/>
        <v>0</v>
      </c>
      <c r="G76" s="179">
        <f>SUMIFS('구글 RAW'!H:H,'구글 RAW'!$A:$A,$B76,'구글 RAW'!$D:$D,"검색광고")</f>
        <v>0</v>
      </c>
      <c r="H76" s="182">
        <f>SUMIFS('구글 RAW'!I:I,'구글 RAW'!$A:$A,$B76,'구글 RAW'!$D:$D,"검색광고")</f>
        <v>0</v>
      </c>
      <c r="I76" s="180">
        <f t="shared" si="9"/>
        <v>0</v>
      </c>
      <c r="J76" s="181">
        <f t="shared" si="10"/>
        <v>0</v>
      </c>
    </row>
    <row r="77" spans="2:11" s="13" customFormat="1">
      <c r="B77" s="171">
        <v>45984</v>
      </c>
      <c r="C77" s="172">
        <f>SUMIFS('구글 RAW'!E:E,'구글 RAW'!$A:$A,$B77,'구글 RAW'!$D:$D,"검색광고")</f>
        <v>0</v>
      </c>
      <c r="D77" s="173">
        <f>SUMIFS('구글 RAW'!F:F,'구글 RAW'!$A:$A,$B77,'구글 RAW'!$D:$D,"검색광고")</f>
        <v>0</v>
      </c>
      <c r="E77" s="174">
        <f t="shared" si="7"/>
        <v>0</v>
      </c>
      <c r="F77" s="175">
        <f t="shared" si="11"/>
        <v>0</v>
      </c>
      <c r="G77" s="173">
        <f>SUMIFS('구글 RAW'!H:H,'구글 RAW'!$A:$A,$B77,'구글 RAW'!$D:$D,"검색광고")</f>
        <v>0</v>
      </c>
      <c r="H77" s="176">
        <f>SUMIFS('구글 RAW'!I:I,'구글 RAW'!$A:$A,$B77,'구글 RAW'!$D:$D,"검색광고")</f>
        <v>0</v>
      </c>
      <c r="I77" s="174">
        <f t="shared" si="9"/>
        <v>0</v>
      </c>
      <c r="J77" s="175">
        <f t="shared" si="10"/>
        <v>0</v>
      </c>
    </row>
    <row r="78" spans="2:11" s="129" customFormat="1">
      <c r="B78" s="183">
        <v>45985</v>
      </c>
      <c r="C78" s="170">
        <f>SUMIFS('구글 RAW'!E:E,'구글 RAW'!$A:$A,$B78,'구글 RAW'!$D:$D,"검색광고")</f>
        <v>0</v>
      </c>
      <c r="D78" s="155">
        <f>SUMIFS('구글 RAW'!F:F,'구글 RAW'!$A:$A,$B78,'구글 RAW'!$D:$D,"검색광고")</f>
        <v>0</v>
      </c>
      <c r="E78" s="17">
        <f t="shared" si="7"/>
        <v>0</v>
      </c>
      <c r="F78" s="16">
        <f t="shared" si="11"/>
        <v>0</v>
      </c>
      <c r="G78" s="155">
        <f>SUMIFS('구글 RAW'!H:H,'구글 RAW'!$A:$A,$B78,'구글 RAW'!$D:$D,"검색광고")</f>
        <v>0</v>
      </c>
      <c r="H78" s="156">
        <f>SUMIFS('구글 RAW'!I:I,'구글 RAW'!$A:$A,$B78,'구글 RAW'!$D:$D,"검색광고")</f>
        <v>0</v>
      </c>
      <c r="I78" s="17">
        <f t="shared" si="9"/>
        <v>0</v>
      </c>
      <c r="J78" s="16">
        <f t="shared" si="10"/>
        <v>0</v>
      </c>
      <c r="K78" s="1"/>
    </row>
    <row r="79" spans="2:11" s="128" customFormat="1">
      <c r="B79" s="183">
        <v>45986</v>
      </c>
      <c r="C79" s="170">
        <f>SUMIFS('구글 RAW'!E:E,'구글 RAW'!$A:$A,$B79,'구글 RAW'!$D:$D,"검색광고")</f>
        <v>0</v>
      </c>
      <c r="D79" s="155">
        <f>SUMIFS('구글 RAW'!F:F,'구글 RAW'!$A:$A,$B79,'구글 RAW'!$D:$D,"검색광고")</f>
        <v>0</v>
      </c>
      <c r="E79" s="17">
        <f t="shared" si="7"/>
        <v>0</v>
      </c>
      <c r="F79" s="16">
        <f t="shared" si="11"/>
        <v>0</v>
      </c>
      <c r="G79" s="155">
        <f>SUMIFS('구글 RAW'!H:H,'구글 RAW'!$A:$A,$B79,'구글 RAW'!$D:$D,"검색광고")</f>
        <v>0</v>
      </c>
      <c r="H79" s="156">
        <f>SUMIFS('구글 RAW'!I:I,'구글 RAW'!$A:$A,$B79,'구글 RAW'!$D:$D,"검색광고")</f>
        <v>0</v>
      </c>
      <c r="I79" s="17">
        <f t="shared" si="9"/>
        <v>0</v>
      </c>
      <c r="J79" s="16">
        <f t="shared" si="10"/>
        <v>0</v>
      </c>
      <c r="K79" s="1"/>
    </row>
    <row r="80" spans="2:11" s="129" customFormat="1">
      <c r="B80" s="183">
        <v>45987</v>
      </c>
      <c r="C80" s="170">
        <f>SUMIFS('구글 RAW'!E:E,'구글 RAW'!$A:$A,$B80,'구글 RAW'!$D:$D,"검색광고")</f>
        <v>0</v>
      </c>
      <c r="D80" s="155">
        <f>SUMIFS('구글 RAW'!F:F,'구글 RAW'!$A:$A,$B80,'구글 RAW'!$D:$D,"검색광고")</f>
        <v>0</v>
      </c>
      <c r="E80" s="17">
        <f t="shared" si="7"/>
        <v>0</v>
      </c>
      <c r="F80" s="16">
        <f t="shared" si="11"/>
        <v>0</v>
      </c>
      <c r="G80" s="155">
        <f>SUMIFS('구글 RAW'!H:H,'구글 RAW'!$A:$A,$B80,'구글 RAW'!$D:$D,"검색광고")</f>
        <v>0</v>
      </c>
      <c r="H80" s="156">
        <f>SUMIFS('구글 RAW'!I:I,'구글 RAW'!$A:$A,$B80,'구글 RAW'!$D:$D,"검색광고")</f>
        <v>0</v>
      </c>
      <c r="I80" s="17">
        <f t="shared" si="9"/>
        <v>0</v>
      </c>
      <c r="J80" s="16">
        <f t="shared" si="10"/>
        <v>0</v>
      </c>
      <c r="K80" s="1"/>
    </row>
    <row r="81" spans="2:11" s="129" customFormat="1">
      <c r="B81" s="183">
        <v>45988</v>
      </c>
      <c r="C81" s="170">
        <f>SUMIFS('구글 RAW'!E:E,'구글 RAW'!$A:$A,$B81,'구글 RAW'!$D:$D,"검색광고")</f>
        <v>0</v>
      </c>
      <c r="D81" s="155">
        <f>SUMIFS('구글 RAW'!F:F,'구글 RAW'!$A:$A,$B81,'구글 RAW'!$D:$D,"검색광고")</f>
        <v>0</v>
      </c>
      <c r="E81" s="17">
        <f t="shared" si="7"/>
        <v>0</v>
      </c>
      <c r="F81" s="16">
        <f t="shared" si="11"/>
        <v>0</v>
      </c>
      <c r="G81" s="155">
        <f>SUMIFS('구글 RAW'!H:H,'구글 RAW'!$A:$A,$B81,'구글 RAW'!$D:$D,"검색광고")</f>
        <v>0</v>
      </c>
      <c r="H81" s="156">
        <f>SUMIFS('구글 RAW'!I:I,'구글 RAW'!$A:$A,$B81,'구글 RAW'!$D:$D,"검색광고")</f>
        <v>0</v>
      </c>
      <c r="I81" s="17">
        <f t="shared" si="9"/>
        <v>0</v>
      </c>
      <c r="J81" s="16">
        <f t="shared" si="10"/>
        <v>0</v>
      </c>
      <c r="K81" s="1"/>
    </row>
    <row r="82" spans="2:11" s="129" customFormat="1">
      <c r="B82" s="183">
        <v>45989</v>
      </c>
      <c r="C82" s="170">
        <f>SUMIFS('구글 RAW'!E:E,'구글 RAW'!$A:$A,$B82,'구글 RAW'!$D:$D,"검색광고")</f>
        <v>0</v>
      </c>
      <c r="D82" s="155">
        <f>SUMIFS('구글 RAW'!F:F,'구글 RAW'!$A:$A,$B82,'구글 RAW'!$D:$D,"검색광고")</f>
        <v>0</v>
      </c>
      <c r="E82" s="17">
        <f t="shared" si="7"/>
        <v>0</v>
      </c>
      <c r="F82" s="16">
        <f t="shared" si="11"/>
        <v>0</v>
      </c>
      <c r="G82" s="155">
        <f>SUMIFS('구글 RAW'!H:H,'구글 RAW'!$A:$A,$B82,'구글 RAW'!$D:$D,"검색광고")</f>
        <v>0</v>
      </c>
      <c r="H82" s="156">
        <f>SUMIFS('구글 RAW'!I:I,'구글 RAW'!$A:$A,$B82,'구글 RAW'!$D:$D,"검색광고")</f>
        <v>0</v>
      </c>
      <c r="I82" s="17">
        <f t="shared" si="9"/>
        <v>0</v>
      </c>
      <c r="J82" s="16">
        <f t="shared" si="10"/>
        <v>0</v>
      </c>
      <c r="K82" s="1"/>
    </row>
    <row r="83" spans="2:11" s="18" customFormat="1">
      <c r="B83" s="177">
        <v>45990</v>
      </c>
      <c r="C83" s="178">
        <f>SUMIFS('구글 RAW'!E:E,'구글 RAW'!$A:$A,$B83,'구글 RAW'!$D:$D,"검색광고")</f>
        <v>0</v>
      </c>
      <c r="D83" s="179">
        <f>SUMIFS('구글 RAW'!F:F,'구글 RAW'!$A:$A,$B83,'구글 RAW'!$D:$D,"검색광고")</f>
        <v>0</v>
      </c>
      <c r="E83" s="180">
        <f t="shared" si="7"/>
        <v>0</v>
      </c>
      <c r="F83" s="181">
        <f t="shared" si="11"/>
        <v>0</v>
      </c>
      <c r="G83" s="179">
        <f>SUMIFS('구글 RAW'!H:H,'구글 RAW'!$A:$A,$B83,'구글 RAW'!$D:$D,"검색광고")</f>
        <v>0</v>
      </c>
      <c r="H83" s="182">
        <f>SUMIFS('구글 RAW'!I:I,'구글 RAW'!$A:$A,$B83,'구글 RAW'!$D:$D,"검색광고")</f>
        <v>0</v>
      </c>
      <c r="I83" s="180">
        <f t="shared" si="9"/>
        <v>0</v>
      </c>
      <c r="J83" s="181">
        <f t="shared" si="10"/>
        <v>0</v>
      </c>
    </row>
    <row r="84" spans="2:11" s="13" customFormat="1">
      <c r="B84" s="171">
        <v>45991</v>
      </c>
      <c r="C84" s="172">
        <f>SUMIFS('구글 RAW'!E:E,'구글 RAW'!$A:$A,$B84,'구글 RAW'!$D:$D,"검색광고")</f>
        <v>0</v>
      </c>
      <c r="D84" s="173">
        <f>SUMIFS('구글 RAW'!F:F,'구글 RAW'!$A:$A,$B84,'구글 RAW'!$D:$D,"검색광고")</f>
        <v>0</v>
      </c>
      <c r="E84" s="174">
        <f t="shared" si="7"/>
        <v>0</v>
      </c>
      <c r="F84" s="175">
        <f t="shared" si="11"/>
        <v>0</v>
      </c>
      <c r="G84" s="173">
        <f>SUMIFS('구글 RAW'!H:H,'구글 RAW'!$A:$A,$B84,'구글 RAW'!$D:$D,"검색광고")</f>
        <v>0</v>
      </c>
      <c r="H84" s="176">
        <f>SUMIFS('구글 RAW'!I:I,'구글 RAW'!$A:$A,$B84,'구글 RAW'!$D:$D,"검색광고")</f>
        <v>0</v>
      </c>
      <c r="I84" s="174">
        <f t="shared" si="9"/>
        <v>0</v>
      </c>
      <c r="J84" s="175">
        <f t="shared" si="10"/>
        <v>0</v>
      </c>
    </row>
    <row r="85" spans="2:11" hidden="1">
      <c r="B85" s="169">
        <v>45992</v>
      </c>
      <c r="C85" s="189">
        <f>SUMIFS('구글 RAW'!E:E,'구글 RAW'!$A:$A,$B85,'구글 RAW'!$D:$D,"검색광고")</f>
        <v>0</v>
      </c>
      <c r="D85" s="189">
        <f>SUMIFS('구글 RAW'!F:F,'구글 RAW'!$A:$A,$B85,'구글 RAW'!$D:$D,"검색광고")</f>
        <v>0</v>
      </c>
      <c r="E85" s="190">
        <f t="shared" si="7"/>
        <v>0</v>
      </c>
      <c r="F85" s="191">
        <f t="shared" si="11"/>
        <v>0</v>
      </c>
      <c r="G85" s="189">
        <f>SUMIFS('구글 RAW'!H:H,'구글 RAW'!$A:$A,$B85,'구글 RAW'!$D:$D,"검색광고")</f>
        <v>0</v>
      </c>
      <c r="H85" s="192">
        <f>SUMIFS('구글 RAW'!I:I,'구글 RAW'!$A:$A,$B85,'구글 RAW'!$D:$D,"검색광고")</f>
        <v>0</v>
      </c>
      <c r="I85" s="190">
        <f t="shared" si="9"/>
        <v>0</v>
      </c>
      <c r="J85" s="191">
        <f t="shared" si="10"/>
        <v>0</v>
      </c>
      <c r="K85" s="1"/>
    </row>
    <row r="86" spans="2:11">
      <c r="B86" s="1"/>
      <c r="K86" s="1"/>
    </row>
    <row r="87" spans="2:11">
      <c r="B87" s="1"/>
      <c r="K87" s="1"/>
    </row>
    <row r="88" spans="2:11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>
      <c r="G89" s="26"/>
      <c r="H89" s="26"/>
    </row>
    <row r="91" spans="2:11">
      <c r="F91" s="25"/>
    </row>
  </sheetData>
  <mergeCells count="23">
    <mergeCell ref="B2:J2"/>
    <mergeCell ref="B33:B34"/>
    <mergeCell ref="C33:C34"/>
    <mergeCell ref="D33:D34"/>
    <mergeCell ref="E33:E34"/>
    <mergeCell ref="F33:F34"/>
    <mergeCell ref="G33:G34"/>
    <mergeCell ref="H33:J33"/>
    <mergeCell ref="L9:V41"/>
    <mergeCell ref="H43:J43"/>
    <mergeCell ref="B52:B53"/>
    <mergeCell ref="C52:C53"/>
    <mergeCell ref="D52:D53"/>
    <mergeCell ref="E52:E53"/>
    <mergeCell ref="F52:F53"/>
    <mergeCell ref="G52:G53"/>
    <mergeCell ref="H52:J52"/>
    <mergeCell ref="B43:B44"/>
    <mergeCell ref="C43:C44"/>
    <mergeCell ref="D43:D44"/>
    <mergeCell ref="E43:E44"/>
    <mergeCell ref="F43:F44"/>
    <mergeCell ref="G43:G4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EF37-8CEA-4BB5-905B-6833CC103C20}">
  <sheetPr codeName="Sheet14">
    <tabColor theme="8" tint="0.79998168889431442"/>
  </sheetPr>
  <dimension ref="B2:P172"/>
  <sheetViews>
    <sheetView showGridLines="0" zoomScaleNormal="100" workbookViewId="0"/>
  </sheetViews>
  <sheetFormatPr defaultColWidth="9" defaultRowHeight="12"/>
  <cols>
    <col min="1" max="1" width="2.25" style="51" customWidth="1"/>
    <col min="2" max="2" width="2" style="50" customWidth="1"/>
    <col min="3" max="3" width="27.75" style="50" bestFit="1" customWidth="1"/>
    <col min="4" max="4" width="16.625" style="50" customWidth="1"/>
    <col min="5" max="5" width="22.75" style="50" bestFit="1" customWidth="1"/>
    <col min="6" max="10" width="11" style="50" customWidth="1"/>
    <col min="11" max="11" width="11" style="52" customWidth="1"/>
    <col min="12" max="12" width="11" style="50" customWidth="1"/>
    <col min="13" max="13" width="11" style="52" customWidth="1"/>
    <col min="14" max="14" width="2.25" style="50" customWidth="1"/>
    <col min="15" max="15" width="9.625" style="51" bestFit="1" customWidth="1"/>
    <col min="16" max="16384" width="9" style="51"/>
  </cols>
  <sheetData>
    <row r="2" spans="2:16" ht="13.5" customHeight="1">
      <c r="B2" s="232" t="s">
        <v>424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</row>
    <row r="3" spans="2:16" ht="21.75" customHeight="1"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</row>
    <row r="4" spans="2:16" ht="13.5" customHeight="1" thickBot="1"/>
    <row r="5" spans="2:16">
      <c r="B5" s="53"/>
      <c r="C5" s="54"/>
      <c r="D5" s="54"/>
      <c r="E5" s="54"/>
      <c r="F5" s="54"/>
      <c r="G5" s="54"/>
      <c r="H5" s="54"/>
      <c r="I5" s="54"/>
      <c r="J5" s="54"/>
      <c r="K5" s="55"/>
      <c r="L5" s="54"/>
      <c r="M5" s="55"/>
      <c r="N5" s="56"/>
    </row>
    <row r="6" spans="2:16">
      <c r="B6" s="57"/>
      <c r="C6" s="58" t="str">
        <f>파워링크_키워드_평일!C6</f>
        <v>* 기간 : 2026.03.02~2026.03.06</v>
      </c>
      <c r="D6" s="59"/>
      <c r="E6" s="59"/>
      <c r="K6" s="60"/>
      <c r="M6" s="60"/>
      <c r="N6" s="61"/>
    </row>
    <row r="7" spans="2:16">
      <c r="B7" s="57"/>
      <c r="K7" s="60"/>
      <c r="M7" s="60"/>
      <c r="N7" s="61"/>
    </row>
    <row r="8" spans="2:16">
      <c r="B8" s="57"/>
      <c r="C8" s="130"/>
      <c r="D8" s="130"/>
      <c r="E8" s="130"/>
      <c r="F8" s="62"/>
      <c r="G8" s="62"/>
      <c r="H8" s="62"/>
      <c r="I8" s="62"/>
      <c r="J8" s="62"/>
      <c r="K8" s="131"/>
      <c r="L8" s="62"/>
      <c r="M8" s="131"/>
      <c r="N8" s="61"/>
    </row>
    <row r="9" spans="2:16">
      <c r="B9" s="57"/>
      <c r="C9" s="132" t="s">
        <v>363</v>
      </c>
      <c r="D9" s="132"/>
      <c r="E9" s="132"/>
      <c r="F9" s="62"/>
      <c r="G9" s="62"/>
      <c r="H9" s="62"/>
      <c r="I9" s="62"/>
      <c r="J9" s="62"/>
      <c r="K9" s="131"/>
      <c r="L9" s="62"/>
      <c r="M9" s="131"/>
      <c r="N9" s="61"/>
    </row>
    <row r="10" spans="2:16" ht="15.75" customHeight="1">
      <c r="B10" s="57"/>
      <c r="C10" s="63" t="s">
        <v>37</v>
      </c>
      <c r="D10" s="63" t="s">
        <v>34</v>
      </c>
      <c r="E10" s="63" t="s">
        <v>35</v>
      </c>
      <c r="F10" s="63" t="s">
        <v>2</v>
      </c>
      <c r="G10" s="63" t="s">
        <v>4</v>
      </c>
      <c r="H10" s="63" t="s">
        <v>51</v>
      </c>
      <c r="I10" s="63" t="s">
        <v>52</v>
      </c>
      <c r="J10" s="64" t="s">
        <v>54</v>
      </c>
      <c r="K10" s="64" t="s">
        <v>45</v>
      </c>
      <c r="L10" s="63" t="s">
        <v>53</v>
      </c>
      <c r="M10" s="64" t="s">
        <v>69</v>
      </c>
      <c r="N10" s="61"/>
    </row>
    <row r="11" spans="2:16" ht="15.75" customHeight="1">
      <c r="B11" s="57"/>
      <c r="C11" s="65" t="s">
        <v>19</v>
      </c>
      <c r="D11" s="65" t="s">
        <v>19</v>
      </c>
      <c r="E11" s="65" t="s">
        <v>36</v>
      </c>
      <c r="F11" s="65">
        <f>SUM(F12:F1048576)</f>
        <v>60</v>
      </c>
      <c r="G11" s="65">
        <f>SUM(G12:G1048576)</f>
        <v>5</v>
      </c>
      <c r="H11" s="67">
        <f>G11/F11</f>
        <v>8.3333333333333329E-2</v>
      </c>
      <c r="I11" s="65">
        <f t="shared" ref="I11:I22" si="0">IFERROR(J11/G11,0)</f>
        <v>637.34</v>
      </c>
      <c r="J11" s="65">
        <f>SUM(J12:J1048576)</f>
        <v>3186.7000000000003</v>
      </c>
      <c r="K11" s="65">
        <f>SUM(K12:K1048576)</f>
        <v>0</v>
      </c>
      <c r="L11" s="67">
        <f t="shared" ref="L11:L22" si="1">IFERROR(K11/G11,0)</f>
        <v>0</v>
      </c>
      <c r="M11" s="65">
        <f t="shared" ref="M11:M22" si="2">IFERROR(J11/K11,0)</f>
        <v>0</v>
      </c>
      <c r="N11" s="61"/>
    </row>
    <row r="12" spans="2:16" ht="15.75" customHeight="1">
      <c r="B12" s="57"/>
      <c r="C12" s="68" t="s">
        <v>370</v>
      </c>
      <c r="D12" s="68" t="s">
        <v>410</v>
      </c>
      <c r="E12" s="68" t="s">
        <v>73</v>
      </c>
      <c r="F12" s="70">
        <v>34</v>
      </c>
      <c r="G12" s="70">
        <v>2</v>
      </c>
      <c r="H12" s="133">
        <f t="shared" ref="H12:H22" si="3">IFERROR(G12/F12,0)</f>
        <v>5.8823529411764705E-2</v>
      </c>
      <c r="I12" s="80">
        <f t="shared" si="0"/>
        <v>924.00000000000011</v>
      </c>
      <c r="J12" s="80">
        <v>1848.0000000000002</v>
      </c>
      <c r="K12" s="70">
        <v>0</v>
      </c>
      <c r="L12" s="133">
        <f t="shared" si="1"/>
        <v>0</v>
      </c>
      <c r="M12" s="70">
        <f t="shared" si="2"/>
        <v>0</v>
      </c>
      <c r="N12" s="71"/>
      <c r="O12" s="152"/>
    </row>
    <row r="13" spans="2:16" ht="15.75" customHeight="1">
      <c r="B13" s="57"/>
      <c r="C13" s="68" t="s">
        <v>370</v>
      </c>
      <c r="D13" s="68" t="s">
        <v>410</v>
      </c>
      <c r="E13" s="68" t="s">
        <v>364</v>
      </c>
      <c r="F13" s="70">
        <v>13</v>
      </c>
      <c r="G13" s="70">
        <v>2</v>
      </c>
      <c r="H13" s="133">
        <f t="shared" si="3"/>
        <v>0.15384615384615385</v>
      </c>
      <c r="I13" s="80">
        <f t="shared" si="0"/>
        <v>647.90000000000009</v>
      </c>
      <c r="J13" s="80">
        <v>1295.8000000000002</v>
      </c>
      <c r="K13" s="70">
        <v>0</v>
      </c>
      <c r="L13" s="133">
        <f t="shared" si="1"/>
        <v>0</v>
      </c>
      <c r="M13" s="70">
        <f t="shared" si="2"/>
        <v>0</v>
      </c>
      <c r="N13" s="71"/>
      <c r="O13" s="152"/>
    </row>
    <row r="14" spans="2:16" ht="15.75" customHeight="1">
      <c r="B14" s="57"/>
      <c r="C14" s="68" t="s">
        <v>370</v>
      </c>
      <c r="D14" s="68" t="s">
        <v>410</v>
      </c>
      <c r="E14" s="68" t="s">
        <v>611</v>
      </c>
      <c r="F14" s="70">
        <v>1</v>
      </c>
      <c r="G14" s="70">
        <v>1</v>
      </c>
      <c r="H14" s="133">
        <f t="shared" si="3"/>
        <v>1</v>
      </c>
      <c r="I14" s="80">
        <f t="shared" si="0"/>
        <v>42.900000000000006</v>
      </c>
      <c r="J14" s="80">
        <v>42.900000000000006</v>
      </c>
      <c r="K14" s="70">
        <v>0</v>
      </c>
      <c r="L14" s="133">
        <f t="shared" si="1"/>
        <v>0</v>
      </c>
      <c r="M14" s="70">
        <f t="shared" si="2"/>
        <v>0</v>
      </c>
      <c r="N14" s="71"/>
      <c r="O14" s="152"/>
    </row>
    <row r="15" spans="2:16" ht="15.75" customHeight="1">
      <c r="B15" s="57"/>
      <c r="C15" s="68" t="s">
        <v>370</v>
      </c>
      <c r="D15" s="68" t="s">
        <v>410</v>
      </c>
      <c r="E15" s="68" t="s">
        <v>72</v>
      </c>
      <c r="F15" s="70">
        <v>4</v>
      </c>
      <c r="G15" s="70">
        <v>0</v>
      </c>
      <c r="H15" s="133">
        <f t="shared" si="3"/>
        <v>0</v>
      </c>
      <c r="I15" s="80">
        <f t="shared" si="0"/>
        <v>0</v>
      </c>
      <c r="J15" s="81">
        <v>0</v>
      </c>
      <c r="K15" s="70">
        <v>0</v>
      </c>
      <c r="L15" s="133">
        <f t="shared" si="1"/>
        <v>0</v>
      </c>
      <c r="M15" s="70">
        <f t="shared" si="2"/>
        <v>0</v>
      </c>
      <c r="N15" s="71"/>
      <c r="O15" s="152"/>
    </row>
    <row r="16" spans="2:16" ht="15.75" customHeight="1">
      <c r="B16" s="57"/>
      <c r="C16" s="68" t="s">
        <v>370</v>
      </c>
      <c r="D16" s="68" t="s">
        <v>410</v>
      </c>
      <c r="E16" s="68" t="s">
        <v>75</v>
      </c>
      <c r="F16" s="70">
        <v>1</v>
      </c>
      <c r="G16" s="70">
        <v>0</v>
      </c>
      <c r="H16" s="133">
        <f t="shared" si="3"/>
        <v>0</v>
      </c>
      <c r="I16" s="80">
        <f t="shared" si="0"/>
        <v>0</v>
      </c>
      <c r="J16" s="80">
        <v>0</v>
      </c>
      <c r="K16" s="70">
        <v>0</v>
      </c>
      <c r="L16" s="133">
        <f t="shared" si="1"/>
        <v>0</v>
      </c>
      <c r="M16" s="70">
        <f t="shared" si="2"/>
        <v>0</v>
      </c>
      <c r="N16" s="71"/>
      <c r="O16" s="152"/>
      <c r="P16" s="51" t="s">
        <v>614</v>
      </c>
    </row>
    <row r="17" spans="2:15" ht="15.75" customHeight="1">
      <c r="B17" s="57"/>
      <c r="C17" s="68" t="s">
        <v>370</v>
      </c>
      <c r="D17" s="68" t="s">
        <v>489</v>
      </c>
      <c r="E17" s="68" t="s">
        <v>594</v>
      </c>
      <c r="F17" s="70">
        <v>2</v>
      </c>
      <c r="G17" s="70">
        <v>0</v>
      </c>
      <c r="H17" s="133">
        <f t="shared" si="3"/>
        <v>0</v>
      </c>
      <c r="I17" s="80">
        <f t="shared" si="0"/>
        <v>0</v>
      </c>
      <c r="J17" s="80">
        <v>0</v>
      </c>
      <c r="K17" s="70">
        <v>0</v>
      </c>
      <c r="L17" s="133">
        <f t="shared" si="1"/>
        <v>0</v>
      </c>
      <c r="M17" s="70">
        <f t="shared" si="2"/>
        <v>0</v>
      </c>
      <c r="N17" s="71"/>
      <c r="O17" s="152"/>
    </row>
    <row r="18" spans="2:15" ht="15.75" customHeight="1">
      <c r="B18" s="57"/>
      <c r="C18" s="68" t="s">
        <v>370</v>
      </c>
      <c r="D18" s="68" t="s">
        <v>410</v>
      </c>
      <c r="E18" s="68" t="s">
        <v>83</v>
      </c>
      <c r="F18" s="70">
        <v>1</v>
      </c>
      <c r="G18" s="70">
        <v>0</v>
      </c>
      <c r="H18" s="133">
        <f t="shared" si="3"/>
        <v>0</v>
      </c>
      <c r="I18" s="80">
        <f t="shared" si="0"/>
        <v>0</v>
      </c>
      <c r="J18" s="81">
        <v>0</v>
      </c>
      <c r="K18" s="70">
        <v>0</v>
      </c>
      <c r="L18" s="133">
        <f t="shared" si="1"/>
        <v>0</v>
      </c>
      <c r="M18" s="70">
        <f t="shared" si="2"/>
        <v>0</v>
      </c>
      <c r="N18" s="71"/>
      <c r="O18" s="152"/>
    </row>
    <row r="19" spans="2:15" ht="15.75" customHeight="1">
      <c r="B19" s="57"/>
      <c r="C19" s="68" t="s">
        <v>370</v>
      </c>
      <c r="D19" s="68" t="s">
        <v>489</v>
      </c>
      <c r="E19" s="68" t="s">
        <v>491</v>
      </c>
      <c r="F19" s="70">
        <v>1</v>
      </c>
      <c r="G19" s="70">
        <v>0</v>
      </c>
      <c r="H19" s="133">
        <f t="shared" si="3"/>
        <v>0</v>
      </c>
      <c r="I19" s="80">
        <f t="shared" si="0"/>
        <v>0</v>
      </c>
      <c r="J19" s="81">
        <v>0</v>
      </c>
      <c r="K19" s="70">
        <v>0</v>
      </c>
      <c r="L19" s="133">
        <f t="shared" si="1"/>
        <v>0</v>
      </c>
      <c r="M19" s="70">
        <f t="shared" si="2"/>
        <v>0</v>
      </c>
      <c r="N19" s="71"/>
      <c r="O19" s="152"/>
    </row>
    <row r="20" spans="2:15" ht="15.75" customHeight="1">
      <c r="B20" s="57"/>
      <c r="C20" s="68" t="s">
        <v>370</v>
      </c>
      <c r="D20" s="68" t="s">
        <v>489</v>
      </c>
      <c r="E20" s="68" t="s">
        <v>490</v>
      </c>
      <c r="F20" s="70">
        <v>1</v>
      </c>
      <c r="G20" s="70">
        <v>0</v>
      </c>
      <c r="H20" s="133">
        <f t="shared" si="3"/>
        <v>0</v>
      </c>
      <c r="I20" s="80">
        <f t="shared" si="0"/>
        <v>0</v>
      </c>
      <c r="J20" s="81">
        <v>0</v>
      </c>
      <c r="K20" s="70">
        <v>0</v>
      </c>
      <c r="L20" s="133">
        <f t="shared" si="1"/>
        <v>0</v>
      </c>
      <c r="M20" s="70">
        <f t="shared" si="2"/>
        <v>0</v>
      </c>
      <c r="N20" s="71"/>
      <c r="O20" s="152"/>
    </row>
    <row r="21" spans="2:15" ht="15.75" customHeight="1">
      <c r="B21" s="57"/>
      <c r="C21" s="68" t="s">
        <v>370</v>
      </c>
      <c r="D21" s="68" t="s">
        <v>410</v>
      </c>
      <c r="E21" s="68" t="s">
        <v>592</v>
      </c>
      <c r="F21" s="70">
        <v>1</v>
      </c>
      <c r="G21" s="70">
        <v>0</v>
      </c>
      <c r="H21" s="133">
        <f t="shared" si="3"/>
        <v>0</v>
      </c>
      <c r="I21" s="80">
        <f t="shared" si="0"/>
        <v>0</v>
      </c>
      <c r="J21" s="81">
        <v>0</v>
      </c>
      <c r="K21" s="70">
        <v>0</v>
      </c>
      <c r="L21" s="133">
        <f t="shared" si="1"/>
        <v>0</v>
      </c>
      <c r="M21" s="70">
        <f t="shared" si="2"/>
        <v>0</v>
      </c>
      <c r="N21" s="71"/>
      <c r="O21" s="152"/>
    </row>
    <row r="22" spans="2:15" ht="15.75" customHeight="1">
      <c r="B22" s="57"/>
      <c r="C22" s="68" t="s">
        <v>370</v>
      </c>
      <c r="D22" s="68" t="s">
        <v>489</v>
      </c>
      <c r="E22" s="68" t="s">
        <v>648</v>
      </c>
      <c r="F22" s="70">
        <v>1</v>
      </c>
      <c r="G22" s="70">
        <v>0</v>
      </c>
      <c r="H22" s="133">
        <f t="shared" si="3"/>
        <v>0</v>
      </c>
      <c r="I22" s="80">
        <f t="shared" si="0"/>
        <v>0</v>
      </c>
      <c r="J22" s="81">
        <v>0</v>
      </c>
      <c r="K22" s="70">
        <v>0</v>
      </c>
      <c r="L22" s="133">
        <f t="shared" si="1"/>
        <v>0</v>
      </c>
      <c r="M22" s="70">
        <f t="shared" si="2"/>
        <v>0</v>
      </c>
      <c r="N22" s="71"/>
      <c r="O22" s="152"/>
    </row>
    <row r="23" spans="2:15" ht="15.75" customHeight="1">
      <c r="B23" s="57"/>
      <c r="C23" s="68"/>
      <c r="D23" s="68"/>
      <c r="E23" s="68"/>
      <c r="F23" s="70"/>
      <c r="G23" s="70"/>
      <c r="H23" s="133"/>
      <c r="I23" s="80"/>
      <c r="J23" s="80"/>
      <c r="K23" s="70"/>
      <c r="L23" s="133"/>
      <c r="M23" s="70"/>
      <c r="N23" s="71"/>
      <c r="O23" s="152"/>
    </row>
    <row r="24" spans="2:15" ht="15.75" customHeight="1">
      <c r="B24" s="57"/>
      <c r="C24" s="68"/>
      <c r="D24" s="68"/>
      <c r="E24" s="68"/>
      <c r="F24" s="70"/>
      <c r="G24" s="70"/>
      <c r="H24" s="133"/>
      <c r="I24" s="80"/>
      <c r="J24" s="80"/>
      <c r="K24" s="70"/>
      <c r="L24" s="133"/>
      <c r="M24" s="70"/>
      <c r="N24" s="71"/>
      <c r="O24" s="152"/>
    </row>
    <row r="25" spans="2:15" ht="15.75" customHeight="1">
      <c r="B25" s="57"/>
      <c r="C25" s="68"/>
      <c r="D25" s="68"/>
      <c r="E25" s="68"/>
      <c r="F25" s="70"/>
      <c r="G25" s="70"/>
      <c r="H25" s="133"/>
      <c r="I25" s="80"/>
      <c r="J25" s="80"/>
      <c r="K25" s="70"/>
      <c r="L25" s="133"/>
      <c r="M25" s="70"/>
      <c r="N25" s="71"/>
      <c r="O25" s="152"/>
    </row>
    <row r="26" spans="2:15" ht="15.75" customHeight="1">
      <c r="B26" s="57"/>
      <c r="C26" s="68"/>
      <c r="D26" s="68"/>
      <c r="E26" s="68"/>
      <c r="F26" s="70"/>
      <c r="G26" s="70"/>
      <c r="H26" s="133"/>
      <c r="I26" s="80"/>
      <c r="J26" s="81"/>
      <c r="K26" s="70"/>
      <c r="L26" s="133"/>
      <c r="M26" s="70"/>
      <c r="N26" s="71"/>
      <c r="O26" s="152"/>
    </row>
    <row r="27" spans="2:15" ht="15.75" customHeight="1">
      <c r="B27" s="57"/>
      <c r="C27" s="68"/>
      <c r="D27" s="68"/>
      <c r="E27" s="68"/>
      <c r="F27" s="70"/>
      <c r="G27" s="70"/>
      <c r="H27" s="133"/>
      <c r="I27" s="80"/>
      <c r="J27" s="80"/>
      <c r="K27" s="70"/>
      <c r="L27" s="133"/>
      <c r="M27" s="70"/>
      <c r="N27" s="71"/>
      <c r="O27" s="152"/>
    </row>
    <row r="28" spans="2:15" ht="15.75" customHeight="1">
      <c r="B28" s="57"/>
      <c r="C28" s="68"/>
      <c r="D28" s="68"/>
      <c r="E28" s="68"/>
      <c r="F28" s="70"/>
      <c r="G28" s="70"/>
      <c r="H28" s="133"/>
      <c r="I28" s="80"/>
      <c r="J28" s="80"/>
      <c r="K28" s="70"/>
      <c r="L28" s="133"/>
      <c r="M28" s="70"/>
      <c r="N28" s="71"/>
      <c r="O28" s="152"/>
    </row>
    <row r="29" spans="2:15" ht="15.75" customHeight="1">
      <c r="B29" s="57"/>
      <c r="C29" s="68"/>
      <c r="D29" s="68"/>
      <c r="E29" s="68"/>
      <c r="F29" s="70"/>
      <c r="G29" s="70"/>
      <c r="H29" s="133"/>
      <c r="I29" s="80"/>
      <c r="J29" s="80"/>
      <c r="K29" s="70"/>
      <c r="L29" s="133"/>
      <c r="M29" s="70"/>
      <c r="N29" s="71"/>
      <c r="O29" s="152"/>
    </row>
    <row r="30" spans="2:15" ht="15.75" customHeight="1">
      <c r="B30" s="57"/>
      <c r="C30" s="68"/>
      <c r="D30" s="68"/>
      <c r="E30" s="68"/>
      <c r="F30" s="70"/>
      <c r="G30" s="70"/>
      <c r="H30" s="133"/>
      <c r="I30" s="80"/>
      <c r="J30" s="81"/>
      <c r="K30" s="70"/>
      <c r="L30" s="133"/>
      <c r="M30" s="70"/>
      <c r="N30" s="71"/>
      <c r="O30" s="152"/>
    </row>
    <row r="31" spans="2:15" ht="15.75" customHeight="1">
      <c r="B31" s="57"/>
      <c r="C31" s="68"/>
      <c r="D31" s="68"/>
      <c r="E31" s="68"/>
      <c r="F31" s="70"/>
      <c r="G31" s="70"/>
      <c r="H31" s="133"/>
      <c r="I31" s="80"/>
      <c r="J31" s="80"/>
      <c r="K31" s="70"/>
      <c r="L31" s="133"/>
      <c r="M31" s="70"/>
      <c r="N31" s="71"/>
      <c r="O31" s="152"/>
    </row>
    <row r="32" spans="2:15" ht="15.75" customHeight="1">
      <c r="B32" s="57"/>
      <c r="C32" s="68"/>
      <c r="D32" s="68"/>
      <c r="E32" s="68"/>
      <c r="F32" s="70"/>
      <c r="G32" s="70"/>
      <c r="H32" s="133"/>
      <c r="I32" s="80"/>
      <c r="J32" s="81"/>
      <c r="K32" s="70"/>
      <c r="L32" s="133"/>
      <c r="M32" s="70"/>
      <c r="N32" s="71"/>
      <c r="O32" s="152"/>
    </row>
    <row r="33" spans="2:14" ht="15.75" customHeight="1">
      <c r="B33" s="57"/>
      <c r="C33" s="68"/>
      <c r="D33" s="68"/>
      <c r="E33" s="68"/>
      <c r="F33" s="70"/>
      <c r="G33" s="70"/>
      <c r="H33" s="133"/>
      <c r="I33" s="80"/>
      <c r="J33" s="80"/>
      <c r="K33" s="70"/>
      <c r="L33" s="133"/>
      <c r="M33" s="70"/>
      <c r="N33" s="71"/>
    </row>
    <row r="34" spans="2:14" ht="15.75" customHeight="1">
      <c r="B34" s="57"/>
      <c r="C34" s="68"/>
      <c r="D34" s="68"/>
      <c r="E34" s="68"/>
      <c r="F34" s="70"/>
      <c r="G34" s="70"/>
      <c r="H34" s="133"/>
      <c r="I34" s="80"/>
      <c r="J34" s="80"/>
      <c r="K34" s="70"/>
      <c r="L34" s="133"/>
      <c r="M34" s="70"/>
      <c r="N34" s="77"/>
    </row>
    <row r="35" spans="2:14" ht="15.75" customHeight="1">
      <c r="B35" s="57"/>
      <c r="C35" s="68"/>
      <c r="D35" s="68"/>
      <c r="E35" s="68"/>
      <c r="F35" s="70"/>
      <c r="G35" s="70"/>
      <c r="H35" s="133"/>
      <c r="I35" s="80"/>
      <c r="J35" s="81"/>
      <c r="K35" s="70"/>
      <c r="L35" s="133"/>
      <c r="M35" s="70"/>
      <c r="N35" s="77"/>
    </row>
    <row r="36" spans="2:14" ht="15.75" customHeight="1">
      <c r="B36" s="57"/>
      <c r="C36" s="68"/>
      <c r="D36" s="68"/>
      <c r="E36" s="68"/>
      <c r="F36" s="70"/>
      <c r="G36" s="70"/>
      <c r="H36" s="133"/>
      <c r="I36" s="80"/>
      <c r="J36" s="81"/>
      <c r="K36" s="70"/>
      <c r="L36" s="133"/>
      <c r="M36" s="70"/>
      <c r="N36" s="77"/>
    </row>
    <row r="37" spans="2:14" ht="15.75" customHeight="1">
      <c r="B37" s="57"/>
      <c r="C37" s="68"/>
      <c r="D37" s="68"/>
      <c r="E37" s="68"/>
      <c r="F37" s="70"/>
      <c r="G37" s="70"/>
      <c r="H37" s="133"/>
      <c r="I37" s="80"/>
      <c r="J37" s="81"/>
      <c r="K37" s="70"/>
      <c r="L37" s="133"/>
      <c r="M37" s="70"/>
      <c r="N37" s="77"/>
    </row>
    <row r="38" spans="2:14" ht="15.75" customHeight="1">
      <c r="B38" s="57"/>
      <c r="C38" s="68"/>
      <c r="D38" s="68"/>
      <c r="E38" s="68"/>
      <c r="F38" s="70"/>
      <c r="G38" s="70"/>
      <c r="H38" s="133"/>
      <c r="I38" s="80"/>
      <c r="J38" s="80"/>
      <c r="K38" s="70"/>
      <c r="L38" s="133"/>
      <c r="M38" s="70"/>
      <c r="N38" s="77"/>
    </row>
    <row r="39" spans="2:14" ht="15.75" customHeight="1">
      <c r="B39" s="57"/>
      <c r="C39" s="68"/>
      <c r="D39" s="68"/>
      <c r="E39" s="68"/>
      <c r="F39" s="70"/>
      <c r="G39" s="70"/>
      <c r="H39" s="133"/>
      <c r="I39" s="80"/>
      <c r="J39" s="80"/>
      <c r="K39" s="70"/>
      <c r="L39" s="133"/>
      <c r="M39" s="70"/>
      <c r="N39" s="77"/>
    </row>
    <row r="40" spans="2:14" ht="15.75" customHeight="1">
      <c r="B40" s="57"/>
      <c r="C40" s="68"/>
      <c r="D40" s="68"/>
      <c r="E40" s="68"/>
      <c r="F40" s="70"/>
      <c r="G40" s="70"/>
      <c r="H40" s="133"/>
      <c r="I40" s="80"/>
      <c r="J40" s="80"/>
      <c r="K40" s="70"/>
      <c r="L40" s="133"/>
      <c r="M40" s="70"/>
      <c r="N40" s="77"/>
    </row>
    <row r="41" spans="2:14" ht="15.75" customHeight="1">
      <c r="B41" s="57"/>
      <c r="C41" s="68"/>
      <c r="D41" s="68"/>
      <c r="E41" s="68"/>
      <c r="F41" s="70"/>
      <c r="G41" s="70"/>
      <c r="H41" s="133"/>
      <c r="I41" s="80"/>
      <c r="J41" s="80"/>
      <c r="K41" s="70"/>
      <c r="L41" s="133"/>
      <c r="M41" s="70"/>
      <c r="N41" s="77"/>
    </row>
    <row r="42" spans="2:14" ht="15.75" customHeight="1">
      <c r="B42" s="57"/>
      <c r="C42" s="68"/>
      <c r="D42" s="68"/>
      <c r="E42" s="68"/>
      <c r="F42" s="70"/>
      <c r="G42" s="70"/>
      <c r="H42" s="79"/>
      <c r="I42" s="80"/>
      <c r="J42" s="80"/>
      <c r="K42" s="70"/>
      <c r="L42" s="133"/>
      <c r="M42" s="70"/>
      <c r="N42" s="77"/>
    </row>
    <row r="43" spans="2:14" ht="15.75" customHeight="1">
      <c r="B43" s="57"/>
      <c r="C43" s="68"/>
      <c r="D43" s="68"/>
      <c r="E43" s="68"/>
      <c r="F43" s="70"/>
      <c r="G43" s="70"/>
      <c r="H43" s="79"/>
      <c r="I43" s="80"/>
      <c r="J43" s="80"/>
      <c r="K43" s="70"/>
      <c r="L43" s="133"/>
      <c r="M43" s="70"/>
      <c r="N43" s="77"/>
    </row>
    <row r="44" spans="2:14" ht="15.75" customHeight="1">
      <c r="B44" s="57"/>
      <c r="C44" s="68"/>
      <c r="D44" s="68"/>
      <c r="E44" s="68"/>
      <c r="F44" s="70"/>
      <c r="G44" s="70"/>
      <c r="H44" s="79"/>
      <c r="I44" s="80"/>
      <c r="J44" s="80"/>
      <c r="K44" s="70"/>
      <c r="L44" s="133"/>
      <c r="M44" s="70"/>
      <c r="N44" s="77"/>
    </row>
    <row r="45" spans="2:14" ht="15.75" customHeight="1">
      <c r="B45" s="57"/>
      <c r="C45" s="68"/>
      <c r="D45" s="68"/>
      <c r="E45" s="68"/>
      <c r="F45" s="70"/>
      <c r="G45" s="70"/>
      <c r="H45" s="79"/>
      <c r="I45" s="80"/>
      <c r="J45" s="80"/>
      <c r="K45" s="70"/>
      <c r="L45" s="133"/>
      <c r="M45" s="70"/>
      <c r="N45" s="77"/>
    </row>
    <row r="46" spans="2:14" ht="15.75" customHeight="1">
      <c r="B46" s="57"/>
      <c r="C46" s="68"/>
      <c r="D46" s="68"/>
      <c r="E46" s="68"/>
      <c r="F46" s="70"/>
      <c r="G46" s="70"/>
      <c r="H46" s="79"/>
      <c r="I46" s="80"/>
      <c r="J46" s="80"/>
      <c r="K46" s="70"/>
      <c r="L46" s="133"/>
      <c r="M46" s="70"/>
      <c r="N46" s="77"/>
    </row>
    <row r="47" spans="2:14" ht="15.75" customHeight="1">
      <c r="B47" s="57"/>
      <c r="C47" s="68"/>
      <c r="D47" s="68"/>
      <c r="E47" s="68"/>
      <c r="F47" s="70"/>
      <c r="G47" s="70"/>
      <c r="H47" s="79"/>
      <c r="I47" s="80"/>
      <c r="J47" s="80"/>
      <c r="K47" s="70"/>
      <c r="L47" s="133"/>
      <c r="M47" s="70"/>
      <c r="N47" s="77"/>
    </row>
    <row r="48" spans="2:14" ht="15.75" customHeight="1">
      <c r="B48" s="57"/>
      <c r="C48" s="68"/>
      <c r="D48" s="68"/>
      <c r="E48" s="68"/>
      <c r="F48" s="70"/>
      <c r="G48" s="70"/>
      <c r="H48" s="79"/>
      <c r="I48" s="80"/>
      <c r="J48" s="80"/>
      <c r="K48" s="70"/>
      <c r="L48" s="133"/>
      <c r="M48" s="70"/>
      <c r="N48" s="77"/>
    </row>
    <row r="49" spans="2:15" ht="15.75" customHeight="1">
      <c r="B49" s="57"/>
      <c r="C49" s="68"/>
      <c r="D49" s="68"/>
      <c r="E49" s="68"/>
      <c r="F49" s="70"/>
      <c r="G49" s="70"/>
      <c r="H49" s="79"/>
      <c r="I49" s="80"/>
      <c r="J49" s="80"/>
      <c r="K49" s="70"/>
      <c r="L49" s="133"/>
      <c r="M49" s="70"/>
      <c r="N49" s="77"/>
    </row>
    <row r="50" spans="2:15" ht="15.75" customHeight="1">
      <c r="B50" s="57"/>
      <c r="C50" s="68"/>
      <c r="D50" s="68"/>
      <c r="E50" s="68"/>
      <c r="F50" s="70"/>
      <c r="G50" s="70"/>
      <c r="H50" s="79"/>
      <c r="I50" s="80"/>
      <c r="J50" s="80"/>
      <c r="K50" s="70"/>
      <c r="L50" s="133"/>
      <c r="M50" s="70"/>
      <c r="N50" s="77"/>
    </row>
    <row r="51" spans="2:15" ht="15.75" customHeight="1">
      <c r="B51" s="57"/>
      <c r="C51" s="68"/>
      <c r="D51" s="68"/>
      <c r="E51" s="68"/>
      <c r="F51" s="70"/>
      <c r="G51" s="70"/>
      <c r="H51" s="79"/>
      <c r="I51" s="80"/>
      <c r="J51" s="80"/>
      <c r="K51" s="70"/>
      <c r="L51" s="133"/>
      <c r="M51" s="70"/>
      <c r="N51" s="77"/>
    </row>
    <row r="52" spans="2:15" ht="15.75" customHeight="1">
      <c r="B52" s="57"/>
      <c r="C52" s="68"/>
      <c r="D52" s="68"/>
      <c r="E52" s="68"/>
      <c r="F52" s="70"/>
      <c r="G52" s="70"/>
      <c r="H52" s="79"/>
      <c r="I52" s="80"/>
      <c r="J52" s="80"/>
      <c r="K52" s="70"/>
      <c r="L52" s="133"/>
      <c r="M52" s="70"/>
      <c r="N52" s="77"/>
    </row>
    <row r="53" spans="2:15" ht="15.75" customHeight="1">
      <c r="B53" s="57"/>
      <c r="C53" s="68"/>
      <c r="D53" s="68"/>
      <c r="E53" s="68"/>
      <c r="F53" s="70"/>
      <c r="G53" s="70"/>
      <c r="H53" s="79"/>
      <c r="I53" s="80"/>
      <c r="J53" s="80"/>
      <c r="K53" s="70"/>
      <c r="L53" s="133"/>
      <c r="M53" s="70"/>
      <c r="N53" s="77"/>
    </row>
    <row r="54" spans="2:15" ht="15.75" customHeight="1">
      <c r="B54" s="57"/>
      <c r="C54" s="68"/>
      <c r="D54" s="68"/>
      <c r="E54" s="68"/>
      <c r="F54" s="70"/>
      <c r="G54" s="70"/>
      <c r="H54" s="79"/>
      <c r="I54" s="80"/>
      <c r="J54" s="80"/>
      <c r="K54" s="70"/>
      <c r="L54" s="133"/>
      <c r="M54" s="70"/>
      <c r="N54" s="77"/>
    </row>
    <row r="55" spans="2:15" ht="15.75" customHeight="1">
      <c r="B55" s="57"/>
      <c r="C55" s="68"/>
      <c r="D55" s="68"/>
      <c r="E55" s="68"/>
      <c r="F55" s="70"/>
      <c r="G55" s="70"/>
      <c r="H55" s="79"/>
      <c r="I55" s="80"/>
      <c r="J55" s="80"/>
      <c r="K55" s="70"/>
      <c r="L55" s="133"/>
      <c r="M55" s="70"/>
      <c r="N55" s="77"/>
    </row>
    <row r="56" spans="2:15" ht="15.75" customHeight="1">
      <c r="B56" s="57"/>
      <c r="C56" s="68"/>
      <c r="D56" s="68"/>
      <c r="E56" s="68"/>
      <c r="F56" s="70"/>
      <c r="G56" s="70"/>
      <c r="H56" s="79"/>
      <c r="I56" s="80"/>
      <c r="J56" s="80"/>
      <c r="K56" s="70"/>
      <c r="L56" s="133"/>
      <c r="M56" s="70"/>
      <c r="N56" s="77"/>
    </row>
    <row r="57" spans="2:15" ht="15.75" customHeight="1">
      <c r="B57" s="57"/>
      <c r="C57" s="68"/>
      <c r="D57" s="68"/>
      <c r="E57" s="68"/>
      <c r="F57" s="70"/>
      <c r="G57" s="70"/>
      <c r="H57" s="79"/>
      <c r="I57" s="80"/>
      <c r="J57" s="80"/>
      <c r="K57" s="70"/>
      <c r="L57" s="133"/>
      <c r="M57" s="70"/>
      <c r="N57" s="77"/>
    </row>
    <row r="58" spans="2:15" ht="15.75" customHeight="1">
      <c r="B58" s="57"/>
      <c r="C58" s="68"/>
      <c r="D58" s="68"/>
      <c r="E58" s="68"/>
      <c r="F58" s="70"/>
      <c r="G58" s="70"/>
      <c r="H58" s="79"/>
      <c r="I58" s="80"/>
      <c r="J58" s="80"/>
      <c r="K58" s="70"/>
      <c r="L58" s="133"/>
      <c r="M58" s="70"/>
      <c r="N58" s="77"/>
    </row>
    <row r="59" spans="2:15" ht="15.75" customHeight="1">
      <c r="B59" s="57"/>
      <c r="C59" s="68"/>
      <c r="D59" s="68"/>
      <c r="E59" s="68"/>
      <c r="F59" s="70"/>
      <c r="G59" s="70"/>
      <c r="H59" s="79"/>
      <c r="I59" s="80"/>
      <c r="J59" s="80"/>
      <c r="K59" s="70"/>
      <c r="L59" s="133"/>
      <c r="M59" s="70"/>
      <c r="N59" s="77"/>
      <c r="O59" s="50"/>
    </row>
    <row r="60" spans="2:15" ht="15.75" customHeight="1" thickBot="1">
      <c r="B60" s="57"/>
      <c r="C60" s="68"/>
      <c r="D60" s="68"/>
      <c r="E60" s="68"/>
      <c r="F60" s="70"/>
      <c r="G60" s="70"/>
      <c r="H60" s="79"/>
      <c r="I60" s="80"/>
      <c r="J60" s="80"/>
      <c r="K60" s="70"/>
      <c r="L60" s="133"/>
      <c r="M60" s="70"/>
      <c r="N60" s="78"/>
      <c r="O60" s="50"/>
    </row>
    <row r="61" spans="2:15" ht="15.75" customHeight="1">
      <c r="B61" s="57"/>
      <c r="C61" s="68"/>
      <c r="D61" s="68"/>
      <c r="E61" s="68"/>
      <c r="F61" s="70"/>
      <c r="G61" s="70"/>
      <c r="H61" s="79"/>
      <c r="I61" s="80"/>
      <c r="J61" s="80"/>
      <c r="K61" s="70"/>
      <c r="L61" s="133"/>
      <c r="M61" s="70"/>
    </row>
    <row r="62" spans="2:15" ht="15.75" customHeight="1">
      <c r="B62" s="57"/>
      <c r="C62" s="68"/>
      <c r="D62" s="68"/>
      <c r="E62" s="68"/>
      <c r="F62" s="70"/>
      <c r="G62" s="70"/>
      <c r="H62" s="79"/>
      <c r="I62" s="80"/>
      <c r="J62" s="80"/>
      <c r="K62" s="70"/>
      <c r="L62" s="133"/>
      <c r="M62" s="70"/>
    </row>
    <row r="63" spans="2:15" ht="15.75" customHeight="1">
      <c r="B63" s="57"/>
      <c r="C63" s="68"/>
      <c r="D63" s="68"/>
      <c r="E63" s="68"/>
      <c r="F63" s="70"/>
      <c r="G63" s="70"/>
      <c r="H63" s="79"/>
      <c r="I63" s="80"/>
      <c r="J63" s="80"/>
      <c r="K63" s="70"/>
      <c r="L63" s="133"/>
      <c r="M63" s="70"/>
    </row>
    <row r="64" spans="2:15" ht="15.75" customHeight="1">
      <c r="B64" s="57"/>
      <c r="C64" s="68"/>
      <c r="D64" s="68"/>
      <c r="E64" s="68"/>
      <c r="F64" s="70"/>
      <c r="G64" s="70"/>
      <c r="H64" s="79"/>
      <c r="I64" s="80"/>
      <c r="J64" s="80"/>
      <c r="K64" s="70"/>
      <c r="L64" s="133"/>
      <c r="M64" s="70"/>
    </row>
    <row r="65" spans="2:13" ht="15.75" customHeight="1">
      <c r="B65" s="57"/>
      <c r="C65" s="68"/>
      <c r="D65" s="68"/>
      <c r="E65" s="68"/>
      <c r="F65" s="70"/>
      <c r="G65" s="70"/>
      <c r="H65" s="79"/>
      <c r="I65" s="80"/>
      <c r="J65" s="80"/>
      <c r="K65" s="70"/>
      <c r="L65" s="133"/>
      <c r="M65" s="70"/>
    </row>
    <row r="66" spans="2:13" ht="15.75" customHeight="1">
      <c r="B66" s="57"/>
      <c r="C66" s="68"/>
      <c r="D66" s="68"/>
      <c r="E66" s="68"/>
      <c r="F66" s="70"/>
      <c r="G66" s="70"/>
      <c r="H66" s="79"/>
      <c r="I66" s="80"/>
      <c r="J66" s="80"/>
      <c r="K66" s="70"/>
      <c r="L66" s="133"/>
      <c r="M66" s="70"/>
    </row>
    <row r="67" spans="2:13" ht="15.75" customHeight="1">
      <c r="B67" s="57"/>
      <c r="C67" s="68"/>
      <c r="D67" s="68"/>
      <c r="E67" s="68"/>
      <c r="F67" s="70"/>
      <c r="G67" s="70"/>
      <c r="H67" s="79"/>
      <c r="I67" s="80"/>
      <c r="J67" s="80"/>
      <c r="K67" s="70"/>
      <c r="L67" s="133"/>
      <c r="M67" s="70"/>
    </row>
    <row r="68" spans="2:13" ht="15.75" customHeight="1">
      <c r="B68" s="57"/>
      <c r="C68" s="68"/>
      <c r="D68" s="68"/>
      <c r="E68" s="68"/>
      <c r="F68" s="70"/>
      <c r="G68" s="70"/>
      <c r="H68" s="79"/>
      <c r="I68" s="80"/>
      <c r="J68" s="80"/>
      <c r="K68" s="70"/>
      <c r="L68" s="133"/>
      <c r="M68" s="70"/>
    </row>
    <row r="69" spans="2:13" ht="15.75" customHeight="1">
      <c r="B69" s="57"/>
      <c r="C69" s="68"/>
      <c r="D69" s="68"/>
      <c r="E69" s="68"/>
      <c r="F69" s="70"/>
      <c r="G69" s="70"/>
      <c r="H69" s="79"/>
      <c r="I69" s="80"/>
      <c r="J69" s="80"/>
      <c r="K69" s="70"/>
      <c r="L69" s="133"/>
      <c r="M69" s="70"/>
    </row>
    <row r="70" spans="2:13" ht="15.75" customHeight="1">
      <c r="B70" s="57"/>
      <c r="C70" s="68"/>
      <c r="D70" s="68"/>
      <c r="E70" s="68"/>
      <c r="F70" s="70"/>
      <c r="G70" s="70"/>
      <c r="H70" s="79"/>
      <c r="I70" s="80"/>
      <c r="J70" s="80"/>
      <c r="K70" s="70"/>
      <c r="L70" s="133"/>
      <c r="M70" s="70"/>
    </row>
    <row r="71" spans="2:13" ht="15.75" customHeight="1">
      <c r="B71" s="57"/>
      <c r="C71" s="68"/>
      <c r="D71" s="68"/>
      <c r="E71" s="68"/>
      <c r="F71" s="70"/>
      <c r="G71" s="70"/>
      <c r="H71" s="79"/>
      <c r="I71" s="80"/>
      <c r="J71" s="80"/>
      <c r="K71" s="70"/>
      <c r="L71" s="133"/>
      <c r="M71" s="70"/>
    </row>
    <row r="72" spans="2:13" ht="15.75" customHeight="1">
      <c r="B72" s="57"/>
      <c r="C72" s="68"/>
      <c r="D72" s="68"/>
      <c r="E72" s="68"/>
      <c r="F72" s="70"/>
      <c r="G72" s="70"/>
      <c r="H72" s="79"/>
      <c r="I72" s="80"/>
      <c r="J72" s="80"/>
      <c r="K72" s="70"/>
      <c r="L72" s="133"/>
      <c r="M72" s="70"/>
    </row>
    <row r="73" spans="2:13" ht="15.75" customHeight="1">
      <c r="B73" s="57"/>
      <c r="C73" s="68"/>
      <c r="D73" s="68"/>
      <c r="E73" s="68"/>
      <c r="F73" s="70"/>
      <c r="G73" s="70"/>
      <c r="H73" s="79"/>
      <c r="I73" s="80"/>
      <c r="J73" s="80"/>
      <c r="K73" s="70"/>
      <c r="L73" s="133"/>
      <c r="M73" s="70"/>
    </row>
    <row r="74" spans="2:13" ht="15.75" customHeight="1">
      <c r="B74" s="57"/>
      <c r="C74" s="68"/>
      <c r="D74" s="68"/>
      <c r="E74" s="68"/>
      <c r="F74" s="70"/>
      <c r="G74" s="70"/>
      <c r="H74" s="79"/>
      <c r="I74" s="80"/>
      <c r="J74" s="80"/>
      <c r="K74" s="70"/>
      <c r="L74" s="133"/>
      <c r="M74" s="70"/>
    </row>
    <row r="75" spans="2:13" ht="15.75" customHeight="1">
      <c r="B75" s="57"/>
      <c r="C75" s="68"/>
      <c r="D75" s="68"/>
      <c r="E75" s="68"/>
      <c r="F75" s="70"/>
      <c r="G75" s="70"/>
      <c r="H75" s="79"/>
      <c r="I75" s="80"/>
      <c r="J75" s="80"/>
      <c r="K75" s="70"/>
      <c r="L75" s="133"/>
      <c r="M75" s="70"/>
    </row>
    <row r="76" spans="2:13" ht="15.75" customHeight="1">
      <c r="B76" s="57"/>
      <c r="C76" s="68"/>
      <c r="D76" s="68"/>
      <c r="E76" s="68"/>
      <c r="F76" s="70"/>
      <c r="G76" s="70"/>
      <c r="H76" s="79"/>
      <c r="I76" s="80"/>
      <c r="J76" s="80"/>
      <c r="K76" s="70"/>
      <c r="L76" s="133"/>
      <c r="M76" s="70"/>
    </row>
    <row r="77" spans="2:13" ht="15.75" customHeight="1">
      <c r="B77" s="57"/>
      <c r="C77" s="68"/>
      <c r="D77" s="68"/>
      <c r="E77" s="68"/>
      <c r="F77" s="70"/>
      <c r="G77" s="70"/>
      <c r="H77" s="79"/>
      <c r="I77" s="80"/>
      <c r="J77" s="80"/>
      <c r="K77" s="70"/>
      <c r="L77" s="133"/>
      <c r="M77" s="70"/>
    </row>
    <row r="78" spans="2:13" ht="15.75" customHeight="1">
      <c r="B78" s="57"/>
      <c r="C78" s="68"/>
      <c r="D78" s="68"/>
      <c r="E78" s="68"/>
      <c r="F78" s="70"/>
      <c r="G78" s="70"/>
      <c r="H78" s="79"/>
      <c r="I78" s="80"/>
      <c r="J78" s="80"/>
      <c r="K78" s="70"/>
      <c r="L78" s="133"/>
      <c r="M78" s="70"/>
    </row>
    <row r="79" spans="2:13" ht="15.75" customHeight="1">
      <c r="B79" s="57"/>
      <c r="C79" s="68"/>
      <c r="D79" s="68"/>
      <c r="E79" s="68"/>
      <c r="F79" s="70"/>
      <c r="G79" s="70"/>
      <c r="H79" s="79"/>
      <c r="I79" s="80"/>
      <c r="J79" s="80"/>
      <c r="K79" s="70"/>
      <c r="L79" s="133"/>
      <c r="M79" s="70"/>
    </row>
    <row r="80" spans="2:13" ht="15.75" customHeight="1">
      <c r="B80" s="57"/>
      <c r="C80" s="68"/>
      <c r="D80" s="68"/>
      <c r="E80" s="68"/>
      <c r="F80" s="70"/>
      <c r="G80" s="70"/>
      <c r="H80" s="79"/>
      <c r="I80" s="80"/>
      <c r="J80" s="80"/>
      <c r="K80" s="70"/>
      <c r="L80" s="133"/>
      <c r="M80" s="70"/>
    </row>
    <row r="81" spans="2:13" ht="15.75" customHeight="1">
      <c r="B81" s="57"/>
      <c r="C81" s="68"/>
      <c r="D81" s="68"/>
      <c r="E81" s="68"/>
      <c r="F81" s="70"/>
      <c r="G81" s="70"/>
      <c r="H81" s="79"/>
      <c r="I81" s="80"/>
      <c r="J81" s="80"/>
      <c r="K81" s="70"/>
      <c r="L81" s="133"/>
      <c r="M81" s="70"/>
    </row>
    <row r="82" spans="2:13" ht="15.75" customHeight="1">
      <c r="B82" s="57"/>
      <c r="C82" s="68"/>
      <c r="D82" s="68"/>
      <c r="E82" s="68"/>
      <c r="F82" s="70"/>
      <c r="G82" s="70"/>
      <c r="H82" s="79"/>
      <c r="I82" s="80"/>
      <c r="J82" s="80"/>
      <c r="K82" s="70"/>
      <c r="L82" s="133"/>
      <c r="M82" s="70"/>
    </row>
    <row r="83" spans="2:13" ht="15.75" customHeight="1">
      <c r="B83" s="57"/>
      <c r="C83" s="68"/>
      <c r="D83" s="68"/>
      <c r="E83" s="68"/>
      <c r="F83" s="70"/>
      <c r="G83" s="70"/>
      <c r="H83" s="79"/>
      <c r="I83" s="80"/>
      <c r="J83" s="80"/>
      <c r="K83" s="70"/>
      <c r="L83" s="133"/>
      <c r="M83" s="70"/>
    </row>
    <row r="84" spans="2:13" ht="15.75" customHeight="1">
      <c r="B84" s="57"/>
      <c r="C84" s="68"/>
      <c r="D84" s="68"/>
      <c r="E84" s="68"/>
      <c r="F84" s="70"/>
      <c r="G84" s="70"/>
      <c r="H84" s="79"/>
      <c r="I84" s="80"/>
      <c r="J84" s="80"/>
      <c r="K84" s="70"/>
      <c r="L84" s="133"/>
      <c r="M84" s="70"/>
    </row>
    <row r="85" spans="2:13" ht="15.75" customHeight="1">
      <c r="B85" s="57"/>
      <c r="C85" s="68"/>
      <c r="D85" s="68"/>
      <c r="E85" s="68"/>
      <c r="F85" s="70"/>
      <c r="G85" s="70"/>
      <c r="H85" s="79"/>
      <c r="I85" s="80"/>
      <c r="J85" s="80"/>
      <c r="K85" s="70"/>
      <c r="L85" s="133"/>
      <c r="M85" s="70"/>
    </row>
    <row r="86" spans="2:13" ht="15.75" customHeight="1">
      <c r="B86" s="57"/>
      <c r="C86" s="68"/>
      <c r="D86" s="68"/>
      <c r="E86" s="68"/>
      <c r="F86" s="70"/>
      <c r="G86" s="70"/>
      <c r="H86" s="79"/>
      <c r="I86" s="80"/>
      <c r="J86" s="80"/>
      <c r="K86" s="70"/>
      <c r="L86" s="133"/>
      <c r="M86" s="70"/>
    </row>
    <row r="87" spans="2:13" ht="15.75" customHeight="1">
      <c r="B87" s="57"/>
      <c r="C87" s="68"/>
      <c r="D87" s="68"/>
      <c r="E87" s="68"/>
      <c r="F87" s="70"/>
      <c r="G87" s="70"/>
      <c r="H87" s="79"/>
      <c r="I87" s="80"/>
      <c r="J87" s="80"/>
      <c r="K87" s="70"/>
      <c r="L87" s="133"/>
      <c r="M87" s="70"/>
    </row>
    <row r="88" spans="2:13" ht="15.75" customHeight="1">
      <c r="B88" s="57"/>
      <c r="C88" s="68"/>
      <c r="D88" s="68"/>
      <c r="E88" s="68"/>
      <c r="F88" s="70"/>
      <c r="G88" s="70"/>
      <c r="H88" s="79"/>
      <c r="I88" s="80"/>
      <c r="J88" s="80"/>
      <c r="K88" s="70"/>
      <c r="L88" s="133"/>
      <c r="M88" s="70"/>
    </row>
    <row r="89" spans="2:13" ht="15.75" customHeight="1">
      <c r="B89" s="57"/>
      <c r="C89" s="68"/>
      <c r="D89" s="68"/>
      <c r="E89" s="68"/>
      <c r="F89" s="70"/>
      <c r="G89" s="70"/>
      <c r="H89" s="79"/>
      <c r="I89" s="80"/>
      <c r="J89" s="80"/>
      <c r="K89" s="70"/>
      <c r="L89" s="133"/>
      <c r="M89" s="70"/>
    </row>
    <row r="90" spans="2:13" ht="15.75" customHeight="1">
      <c r="B90" s="57"/>
      <c r="C90" s="68"/>
      <c r="D90" s="68"/>
      <c r="E90" s="68"/>
      <c r="F90" s="70"/>
      <c r="G90" s="70"/>
      <c r="H90" s="79"/>
      <c r="I90" s="80"/>
      <c r="J90" s="80"/>
      <c r="K90" s="70"/>
      <c r="L90" s="133"/>
      <c r="M90" s="70"/>
    </row>
    <row r="91" spans="2:13" ht="15.75" customHeight="1">
      <c r="B91" s="57"/>
      <c r="C91" s="68"/>
      <c r="D91" s="68"/>
      <c r="E91" s="68"/>
      <c r="F91" s="70"/>
      <c r="G91" s="70"/>
      <c r="H91" s="79"/>
      <c r="I91" s="80"/>
      <c r="J91" s="80"/>
      <c r="K91" s="70"/>
      <c r="L91" s="133"/>
      <c r="M91" s="70"/>
    </row>
    <row r="92" spans="2:13" ht="15.75" customHeight="1">
      <c r="B92" s="57"/>
      <c r="C92" s="68"/>
      <c r="D92" s="68"/>
      <c r="E92" s="68"/>
      <c r="F92" s="70"/>
      <c r="G92" s="70"/>
      <c r="H92" s="79"/>
      <c r="I92" s="80"/>
      <c r="J92" s="80"/>
      <c r="K92" s="70"/>
      <c r="L92" s="133"/>
      <c r="M92" s="70"/>
    </row>
    <row r="93" spans="2:13" ht="15.75" customHeight="1">
      <c r="B93" s="57"/>
      <c r="C93" s="68"/>
      <c r="D93" s="68"/>
      <c r="E93" s="68"/>
      <c r="F93" s="70"/>
      <c r="G93" s="70"/>
      <c r="H93" s="79"/>
      <c r="I93" s="80"/>
      <c r="J93" s="80"/>
      <c r="K93" s="70"/>
      <c r="L93" s="133"/>
      <c r="M93" s="70"/>
    </row>
    <row r="94" spans="2:13" ht="15.75" customHeight="1">
      <c r="B94" s="57"/>
      <c r="C94" s="68"/>
      <c r="D94" s="68"/>
      <c r="E94" s="68"/>
      <c r="F94" s="70"/>
      <c r="G94" s="70"/>
      <c r="H94" s="79"/>
      <c r="I94" s="80"/>
      <c r="J94" s="80"/>
      <c r="K94" s="70"/>
      <c r="L94" s="133"/>
      <c r="M94" s="70"/>
    </row>
    <row r="95" spans="2:13" ht="15.75" customHeight="1">
      <c r="B95" s="57"/>
    </row>
    <row r="96" spans="2:1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</sheetData>
  <sortState xmlns:xlrd2="http://schemas.microsoft.com/office/spreadsheetml/2017/richdata2" ref="C11:M33">
    <sortCondition descending="1" ref="J11:J33"/>
  </sortState>
  <mergeCells count="1">
    <mergeCell ref="B2:N3"/>
  </mergeCells>
  <phoneticPr fontId="2" type="noConversion"/>
  <conditionalFormatting sqref="E12:E13 E17:E22">
    <cfRule type="duplicateValues" dxfId="2" priority="25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45EA-4126-4782-B44D-EBDF72E0145F}">
  <sheetPr codeName="Sheet15">
    <tabColor theme="8" tint="0.79998168889431442"/>
  </sheetPr>
  <dimension ref="B2:O225"/>
  <sheetViews>
    <sheetView showGridLines="0" zoomScaleNormal="100" workbookViewId="0"/>
  </sheetViews>
  <sheetFormatPr defaultColWidth="9" defaultRowHeight="12"/>
  <cols>
    <col min="1" max="1" width="2.25" style="51" customWidth="1"/>
    <col min="2" max="2" width="2" style="50" customWidth="1"/>
    <col min="3" max="3" width="27.75" style="50" bestFit="1" customWidth="1"/>
    <col min="4" max="4" width="16.625" style="50" customWidth="1"/>
    <col min="5" max="5" width="22.75" style="50" bestFit="1" customWidth="1"/>
    <col min="6" max="10" width="11" style="50" customWidth="1"/>
    <col min="11" max="11" width="11" style="52" customWidth="1"/>
    <col min="12" max="12" width="11" style="50" customWidth="1"/>
    <col min="13" max="13" width="11" style="52" customWidth="1"/>
    <col min="14" max="14" width="2.25" style="50" customWidth="1"/>
    <col min="15" max="15" width="9.625" style="51" bestFit="1" customWidth="1"/>
    <col min="16" max="16384" width="9" style="51"/>
  </cols>
  <sheetData>
    <row r="2" spans="2:15" ht="13.5" customHeight="1">
      <c r="B2" s="232" t="s">
        <v>423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</row>
    <row r="3" spans="2:15" ht="21.75" customHeight="1"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</row>
    <row r="4" spans="2:15" ht="13.5" customHeight="1" thickBot="1"/>
    <row r="5" spans="2:15">
      <c r="B5" s="53"/>
      <c r="C5" s="54"/>
      <c r="D5" s="54"/>
      <c r="E5" s="54"/>
      <c r="F5" s="54"/>
      <c r="G5" s="54"/>
      <c r="H5" s="54"/>
      <c r="I5" s="54"/>
      <c r="J5" s="54"/>
      <c r="K5" s="55"/>
      <c r="L5" s="54"/>
      <c r="M5" s="55"/>
      <c r="N5" s="56"/>
    </row>
    <row r="6" spans="2:15">
      <c r="B6" s="57"/>
      <c r="C6" s="58" t="str">
        <f>구글_PC키워드_주간!C6</f>
        <v>* 기간 : 2026.03.02~2026.03.06</v>
      </c>
      <c r="D6" s="59"/>
      <c r="E6" s="59"/>
      <c r="K6" s="60"/>
      <c r="M6" s="60"/>
      <c r="N6" s="61"/>
    </row>
    <row r="7" spans="2:15">
      <c r="B7" s="57"/>
      <c r="K7" s="60"/>
      <c r="M7" s="60"/>
      <c r="N7" s="61"/>
    </row>
    <row r="8" spans="2:15">
      <c r="B8" s="57"/>
      <c r="C8" s="130"/>
      <c r="D8" s="130"/>
      <c r="E8" s="130"/>
      <c r="F8" s="62"/>
      <c r="G8" s="62"/>
      <c r="H8" s="62"/>
      <c r="I8" s="62"/>
      <c r="J8" s="62"/>
      <c r="K8" s="131"/>
      <c r="L8" s="62"/>
      <c r="M8" s="131"/>
      <c r="N8" s="61"/>
    </row>
    <row r="9" spans="2:15">
      <c r="B9" s="57"/>
      <c r="C9" s="132" t="s">
        <v>366</v>
      </c>
      <c r="D9" s="132"/>
      <c r="E9" s="132"/>
      <c r="F9" s="62"/>
      <c r="G9" s="62"/>
      <c r="H9" s="62"/>
      <c r="I9" s="62"/>
      <c r="J9" s="62"/>
      <c r="K9" s="131"/>
      <c r="L9" s="62"/>
      <c r="M9" s="131"/>
      <c r="N9" s="61"/>
    </row>
    <row r="10" spans="2:15" ht="15.75" customHeight="1">
      <c r="B10" s="57"/>
      <c r="C10" s="63" t="s">
        <v>37</v>
      </c>
      <c r="D10" s="63" t="s">
        <v>34</v>
      </c>
      <c r="E10" s="63" t="s">
        <v>35</v>
      </c>
      <c r="F10" s="63" t="s">
        <v>2</v>
      </c>
      <c r="G10" s="63" t="s">
        <v>4</v>
      </c>
      <c r="H10" s="63" t="s">
        <v>51</v>
      </c>
      <c r="I10" s="63" t="s">
        <v>52</v>
      </c>
      <c r="J10" s="64" t="s">
        <v>54</v>
      </c>
      <c r="K10" s="64" t="s">
        <v>45</v>
      </c>
      <c r="L10" s="63" t="s">
        <v>53</v>
      </c>
      <c r="M10" s="64" t="s">
        <v>69</v>
      </c>
      <c r="N10" s="61"/>
    </row>
    <row r="11" spans="2:15" ht="15.75" customHeight="1">
      <c r="B11" s="57"/>
      <c r="C11" s="65" t="s">
        <v>19</v>
      </c>
      <c r="D11" s="65" t="s">
        <v>19</v>
      </c>
      <c r="E11" s="65" t="s">
        <v>36</v>
      </c>
      <c r="F11" s="65">
        <f>SUM(F12:F1048576)</f>
        <v>110</v>
      </c>
      <c r="G11" s="65">
        <f>SUM(G12:G1048576)</f>
        <v>9</v>
      </c>
      <c r="H11" s="67">
        <f t="shared" ref="H11:H31" si="0">G11/F11</f>
        <v>8.1818181818181818E-2</v>
      </c>
      <c r="I11" s="65">
        <f t="shared" ref="I11:I31" si="1">IFERROR(J11/G11,0)</f>
        <v>634.33333333333337</v>
      </c>
      <c r="J11" s="65">
        <f>SUM(J12:J1048576)</f>
        <v>5709</v>
      </c>
      <c r="K11" s="65">
        <f>SUM(K12:K1048576)</f>
        <v>0</v>
      </c>
      <c r="L11" s="67">
        <f t="shared" ref="L11:L31" si="2">IFERROR(K11/G11,0)</f>
        <v>0</v>
      </c>
      <c r="M11" s="65">
        <f t="shared" ref="M11:M31" si="3">IFERROR(J11/K11,0)</f>
        <v>0</v>
      </c>
      <c r="N11" s="61"/>
    </row>
    <row r="12" spans="2:15" ht="15.75" customHeight="1">
      <c r="B12" s="57"/>
      <c r="C12" s="68" t="s">
        <v>370</v>
      </c>
      <c r="D12" s="68" t="s">
        <v>410</v>
      </c>
      <c r="E12" s="68" t="s">
        <v>364</v>
      </c>
      <c r="F12" s="70">
        <v>28</v>
      </c>
      <c r="G12" s="70">
        <v>3</v>
      </c>
      <c r="H12" s="133">
        <f t="shared" si="0"/>
        <v>0.10714285714285714</v>
      </c>
      <c r="I12" s="80">
        <f t="shared" si="1"/>
        <v>790.53333333333342</v>
      </c>
      <c r="J12" s="81">
        <v>2371.6000000000004</v>
      </c>
      <c r="K12" s="70">
        <v>0</v>
      </c>
      <c r="L12" s="133">
        <f t="shared" si="2"/>
        <v>0</v>
      </c>
      <c r="M12" s="70">
        <f t="shared" si="3"/>
        <v>0</v>
      </c>
      <c r="N12" s="71"/>
      <c r="O12" s="152"/>
    </row>
    <row r="13" spans="2:15" ht="15.75" customHeight="1">
      <c r="B13" s="57"/>
      <c r="C13" s="68" t="s">
        <v>370</v>
      </c>
      <c r="D13" s="68" t="s">
        <v>410</v>
      </c>
      <c r="E13" s="68" t="s">
        <v>73</v>
      </c>
      <c r="F13" s="70">
        <v>32</v>
      </c>
      <c r="G13" s="70">
        <v>2</v>
      </c>
      <c r="H13" s="133">
        <f t="shared" si="0"/>
        <v>6.25E-2</v>
      </c>
      <c r="I13" s="80">
        <f t="shared" si="1"/>
        <v>548.35</v>
      </c>
      <c r="J13" s="81">
        <v>1096.7</v>
      </c>
      <c r="K13" s="70">
        <v>0</v>
      </c>
      <c r="L13" s="133">
        <f t="shared" si="2"/>
        <v>0</v>
      </c>
      <c r="M13" s="70">
        <f t="shared" si="3"/>
        <v>0</v>
      </c>
      <c r="N13" s="71"/>
      <c r="O13" s="152"/>
    </row>
    <row r="14" spans="2:15" ht="15.75" customHeight="1">
      <c r="B14" s="57"/>
      <c r="C14" s="68" t="s">
        <v>370</v>
      </c>
      <c r="D14" s="68" t="s">
        <v>410</v>
      </c>
      <c r="E14" s="68" t="s">
        <v>592</v>
      </c>
      <c r="F14" s="70">
        <v>1</v>
      </c>
      <c r="G14" s="70">
        <v>1</v>
      </c>
      <c r="H14" s="133">
        <f t="shared" si="0"/>
        <v>1</v>
      </c>
      <c r="I14" s="80">
        <f t="shared" si="1"/>
        <v>800.80000000000007</v>
      </c>
      <c r="J14" s="81">
        <v>800.80000000000007</v>
      </c>
      <c r="K14" s="70">
        <v>0</v>
      </c>
      <c r="L14" s="133">
        <f t="shared" si="2"/>
        <v>0</v>
      </c>
      <c r="M14" s="70">
        <f t="shared" si="3"/>
        <v>0</v>
      </c>
      <c r="N14" s="71"/>
      <c r="O14" s="152"/>
    </row>
    <row r="15" spans="2:15" ht="15.75" customHeight="1">
      <c r="B15" s="57"/>
      <c r="C15" s="68" t="s">
        <v>370</v>
      </c>
      <c r="D15" s="68" t="s">
        <v>489</v>
      </c>
      <c r="E15" s="68" t="s">
        <v>491</v>
      </c>
      <c r="F15" s="70">
        <v>8</v>
      </c>
      <c r="G15" s="70">
        <v>1</v>
      </c>
      <c r="H15" s="133">
        <f t="shared" si="0"/>
        <v>0.125</v>
      </c>
      <c r="I15" s="80">
        <f t="shared" si="1"/>
        <v>647.90000000000009</v>
      </c>
      <c r="J15" s="81">
        <v>647.90000000000009</v>
      </c>
      <c r="K15" s="70">
        <v>0</v>
      </c>
      <c r="L15" s="133">
        <f t="shared" si="2"/>
        <v>0</v>
      </c>
      <c r="M15" s="70">
        <f t="shared" si="3"/>
        <v>0</v>
      </c>
      <c r="N15" s="71"/>
      <c r="O15" s="152"/>
    </row>
    <row r="16" spans="2:15" ht="15.75" customHeight="1">
      <c r="B16" s="57"/>
      <c r="C16" s="68" t="s">
        <v>370</v>
      </c>
      <c r="D16" s="68" t="s">
        <v>489</v>
      </c>
      <c r="E16" s="68" t="s">
        <v>610</v>
      </c>
      <c r="F16" s="70">
        <v>1</v>
      </c>
      <c r="G16" s="70">
        <v>1</v>
      </c>
      <c r="H16" s="133">
        <f t="shared" si="0"/>
        <v>1</v>
      </c>
      <c r="I16" s="80">
        <f t="shared" si="1"/>
        <v>444.40000000000003</v>
      </c>
      <c r="J16" s="81">
        <v>444.40000000000003</v>
      </c>
      <c r="K16" s="70">
        <v>0</v>
      </c>
      <c r="L16" s="133">
        <f t="shared" si="2"/>
        <v>0</v>
      </c>
      <c r="M16" s="70">
        <f t="shared" si="3"/>
        <v>0</v>
      </c>
      <c r="N16" s="71"/>
      <c r="O16" s="152"/>
    </row>
    <row r="17" spans="2:15" ht="15.75" customHeight="1">
      <c r="B17" s="57"/>
      <c r="C17" s="68" t="s">
        <v>370</v>
      </c>
      <c r="D17" s="68" t="s">
        <v>489</v>
      </c>
      <c r="E17" s="68" t="s">
        <v>594</v>
      </c>
      <c r="F17" s="70">
        <v>2</v>
      </c>
      <c r="G17" s="70">
        <v>1</v>
      </c>
      <c r="H17" s="133">
        <f t="shared" si="0"/>
        <v>0.5</v>
      </c>
      <c r="I17" s="80">
        <f t="shared" si="1"/>
        <v>347.6</v>
      </c>
      <c r="J17" s="81">
        <v>347.6</v>
      </c>
      <c r="K17" s="70">
        <v>0</v>
      </c>
      <c r="L17" s="133">
        <f t="shared" si="2"/>
        <v>0</v>
      </c>
      <c r="M17" s="70">
        <f t="shared" si="3"/>
        <v>0</v>
      </c>
      <c r="N17" s="71"/>
      <c r="O17" s="152"/>
    </row>
    <row r="18" spans="2:15" ht="15.75" customHeight="1">
      <c r="B18" s="57"/>
      <c r="C18" s="68" t="s">
        <v>370</v>
      </c>
      <c r="D18" s="68" t="s">
        <v>489</v>
      </c>
      <c r="E18" s="68" t="s">
        <v>648</v>
      </c>
      <c r="F18" s="70">
        <v>1</v>
      </c>
      <c r="G18" s="70">
        <v>0</v>
      </c>
      <c r="H18" s="133">
        <f t="shared" si="0"/>
        <v>0</v>
      </c>
      <c r="I18" s="80">
        <f t="shared" si="1"/>
        <v>0</v>
      </c>
      <c r="J18" s="81">
        <v>0</v>
      </c>
      <c r="K18" s="70">
        <v>0</v>
      </c>
      <c r="L18" s="133">
        <f t="shared" si="2"/>
        <v>0</v>
      </c>
      <c r="M18" s="70">
        <f t="shared" si="3"/>
        <v>0</v>
      </c>
      <c r="N18" s="71"/>
      <c r="O18" s="152"/>
    </row>
    <row r="19" spans="2:15" ht="15.75" customHeight="1">
      <c r="B19" s="57"/>
      <c r="C19" s="68" t="s">
        <v>370</v>
      </c>
      <c r="D19" s="68" t="s">
        <v>489</v>
      </c>
      <c r="E19" s="68" t="s">
        <v>649</v>
      </c>
      <c r="F19" s="70">
        <v>2</v>
      </c>
      <c r="G19" s="70">
        <v>0</v>
      </c>
      <c r="H19" s="133">
        <f t="shared" si="0"/>
        <v>0</v>
      </c>
      <c r="I19" s="80">
        <f t="shared" si="1"/>
        <v>0</v>
      </c>
      <c r="J19" s="81">
        <v>0</v>
      </c>
      <c r="K19" s="70">
        <v>0</v>
      </c>
      <c r="L19" s="133">
        <f t="shared" si="2"/>
        <v>0</v>
      </c>
      <c r="M19" s="70">
        <f t="shared" si="3"/>
        <v>0</v>
      </c>
      <c r="N19" s="71"/>
      <c r="O19" s="152"/>
    </row>
    <row r="20" spans="2:15" ht="15.75" customHeight="1">
      <c r="B20" s="57"/>
      <c r="C20" s="68" t="s">
        <v>370</v>
      </c>
      <c r="D20" s="68" t="s">
        <v>410</v>
      </c>
      <c r="E20" s="68" t="s">
        <v>604</v>
      </c>
      <c r="F20" s="70">
        <v>2</v>
      </c>
      <c r="G20" s="70">
        <v>0</v>
      </c>
      <c r="H20" s="133">
        <f t="shared" si="0"/>
        <v>0</v>
      </c>
      <c r="I20" s="80">
        <f t="shared" si="1"/>
        <v>0</v>
      </c>
      <c r="J20" s="81">
        <v>0</v>
      </c>
      <c r="K20" s="70">
        <v>0</v>
      </c>
      <c r="L20" s="133">
        <f t="shared" si="2"/>
        <v>0</v>
      </c>
      <c r="M20" s="70">
        <f t="shared" si="3"/>
        <v>0</v>
      </c>
      <c r="N20" s="71"/>
      <c r="O20" s="152"/>
    </row>
    <row r="21" spans="2:15" ht="15.75" customHeight="1">
      <c r="B21" s="57"/>
      <c r="C21" s="68" t="s">
        <v>370</v>
      </c>
      <c r="D21" s="68" t="s">
        <v>489</v>
      </c>
      <c r="E21" s="68" t="s">
        <v>640</v>
      </c>
      <c r="F21" s="70">
        <v>1</v>
      </c>
      <c r="G21" s="70">
        <v>0</v>
      </c>
      <c r="H21" s="133">
        <f t="shared" si="0"/>
        <v>0</v>
      </c>
      <c r="I21" s="80">
        <f t="shared" si="1"/>
        <v>0</v>
      </c>
      <c r="J21" s="81">
        <v>0</v>
      </c>
      <c r="K21" s="70">
        <v>0</v>
      </c>
      <c r="L21" s="133">
        <f t="shared" si="2"/>
        <v>0</v>
      </c>
      <c r="M21" s="70">
        <f t="shared" si="3"/>
        <v>0</v>
      </c>
      <c r="N21" s="71"/>
      <c r="O21" s="152"/>
    </row>
    <row r="22" spans="2:15" ht="15.75" customHeight="1">
      <c r="B22" s="57"/>
      <c r="C22" s="68" t="s">
        <v>370</v>
      </c>
      <c r="D22" s="68" t="s">
        <v>489</v>
      </c>
      <c r="E22" s="68" t="s">
        <v>612</v>
      </c>
      <c r="F22" s="70">
        <v>1</v>
      </c>
      <c r="G22" s="70">
        <v>0</v>
      </c>
      <c r="H22" s="133">
        <f t="shared" si="0"/>
        <v>0</v>
      </c>
      <c r="I22" s="80">
        <f t="shared" si="1"/>
        <v>0</v>
      </c>
      <c r="J22" s="81">
        <v>0</v>
      </c>
      <c r="K22" s="70">
        <v>0</v>
      </c>
      <c r="L22" s="133">
        <f t="shared" si="2"/>
        <v>0</v>
      </c>
      <c r="M22" s="70">
        <f t="shared" si="3"/>
        <v>0</v>
      </c>
      <c r="N22" s="71"/>
      <c r="O22" s="152"/>
    </row>
    <row r="23" spans="2:15" ht="15.75" customHeight="1">
      <c r="B23" s="57"/>
      <c r="C23" s="68" t="s">
        <v>370</v>
      </c>
      <c r="D23" s="68" t="s">
        <v>410</v>
      </c>
      <c r="E23" s="68" t="s">
        <v>74</v>
      </c>
      <c r="F23" s="70">
        <v>1</v>
      </c>
      <c r="G23" s="70">
        <v>0</v>
      </c>
      <c r="H23" s="133">
        <f t="shared" si="0"/>
        <v>0</v>
      </c>
      <c r="I23" s="80">
        <f t="shared" si="1"/>
        <v>0</v>
      </c>
      <c r="J23" s="81">
        <v>0</v>
      </c>
      <c r="K23" s="70">
        <v>0</v>
      </c>
      <c r="L23" s="133">
        <f t="shared" si="2"/>
        <v>0</v>
      </c>
      <c r="M23" s="70">
        <f t="shared" si="3"/>
        <v>0</v>
      </c>
      <c r="N23" s="71"/>
      <c r="O23" s="152"/>
    </row>
    <row r="24" spans="2:15" ht="15.75" customHeight="1">
      <c r="B24" s="57"/>
      <c r="C24" s="68" t="s">
        <v>370</v>
      </c>
      <c r="D24" s="68" t="s">
        <v>410</v>
      </c>
      <c r="E24" s="68" t="s">
        <v>593</v>
      </c>
      <c r="F24" s="70">
        <v>3</v>
      </c>
      <c r="G24" s="70">
        <v>0</v>
      </c>
      <c r="H24" s="133">
        <f t="shared" si="0"/>
        <v>0</v>
      </c>
      <c r="I24" s="80">
        <f t="shared" si="1"/>
        <v>0</v>
      </c>
      <c r="J24" s="81">
        <v>0</v>
      </c>
      <c r="K24" s="70">
        <v>0</v>
      </c>
      <c r="L24" s="133">
        <f t="shared" si="2"/>
        <v>0</v>
      </c>
      <c r="M24" s="70">
        <f t="shared" si="3"/>
        <v>0</v>
      </c>
      <c r="N24" s="71"/>
      <c r="O24" s="152"/>
    </row>
    <row r="25" spans="2:15" ht="15.75" customHeight="1">
      <c r="B25" s="57"/>
      <c r="C25" s="68" t="s">
        <v>370</v>
      </c>
      <c r="D25" s="68" t="s">
        <v>489</v>
      </c>
      <c r="E25" s="68" t="s">
        <v>490</v>
      </c>
      <c r="F25" s="70">
        <v>11</v>
      </c>
      <c r="G25" s="70">
        <v>0</v>
      </c>
      <c r="H25" s="133">
        <f t="shared" si="0"/>
        <v>0</v>
      </c>
      <c r="I25" s="80">
        <f t="shared" si="1"/>
        <v>0</v>
      </c>
      <c r="J25" s="81">
        <v>0</v>
      </c>
      <c r="K25" s="70">
        <v>0</v>
      </c>
      <c r="L25" s="133">
        <f t="shared" si="2"/>
        <v>0</v>
      </c>
      <c r="M25" s="70">
        <f t="shared" si="3"/>
        <v>0</v>
      </c>
      <c r="N25" s="71"/>
      <c r="O25" s="152"/>
    </row>
    <row r="26" spans="2:15" ht="15.75" customHeight="1">
      <c r="B26" s="57"/>
      <c r="C26" s="68" t="s">
        <v>370</v>
      </c>
      <c r="D26" s="68" t="s">
        <v>410</v>
      </c>
      <c r="E26" s="68" t="s">
        <v>75</v>
      </c>
      <c r="F26" s="70">
        <v>6</v>
      </c>
      <c r="G26" s="70">
        <v>0</v>
      </c>
      <c r="H26" s="133">
        <f t="shared" si="0"/>
        <v>0</v>
      </c>
      <c r="I26" s="80">
        <f t="shared" si="1"/>
        <v>0</v>
      </c>
      <c r="J26" s="81">
        <v>0</v>
      </c>
      <c r="K26" s="70">
        <v>0</v>
      </c>
      <c r="L26" s="133">
        <f t="shared" si="2"/>
        <v>0</v>
      </c>
      <c r="M26" s="70">
        <f t="shared" si="3"/>
        <v>0</v>
      </c>
      <c r="N26" s="71"/>
      <c r="O26" s="152"/>
    </row>
    <row r="27" spans="2:15" ht="15.75" customHeight="1">
      <c r="B27" s="57"/>
      <c r="C27" s="68" t="s">
        <v>370</v>
      </c>
      <c r="D27" s="68" t="s">
        <v>410</v>
      </c>
      <c r="E27" s="68" t="s">
        <v>611</v>
      </c>
      <c r="F27" s="70">
        <v>2</v>
      </c>
      <c r="G27" s="70">
        <v>0</v>
      </c>
      <c r="H27" s="133">
        <f t="shared" si="0"/>
        <v>0</v>
      </c>
      <c r="I27" s="80">
        <f t="shared" si="1"/>
        <v>0</v>
      </c>
      <c r="J27" s="81">
        <v>0</v>
      </c>
      <c r="K27" s="70">
        <v>0</v>
      </c>
      <c r="L27" s="133">
        <f t="shared" si="2"/>
        <v>0</v>
      </c>
      <c r="M27" s="70">
        <f t="shared" si="3"/>
        <v>0</v>
      </c>
      <c r="N27" s="71"/>
      <c r="O27" s="152"/>
    </row>
    <row r="28" spans="2:15" ht="15.75" customHeight="1">
      <c r="B28" s="57"/>
      <c r="C28" s="68" t="s">
        <v>370</v>
      </c>
      <c r="D28" s="68" t="s">
        <v>489</v>
      </c>
      <c r="E28" s="68" t="s">
        <v>650</v>
      </c>
      <c r="F28" s="70">
        <v>1</v>
      </c>
      <c r="G28" s="70">
        <v>0</v>
      </c>
      <c r="H28" s="133">
        <f t="shared" si="0"/>
        <v>0</v>
      </c>
      <c r="I28" s="80">
        <f t="shared" si="1"/>
        <v>0</v>
      </c>
      <c r="J28" s="81">
        <v>0</v>
      </c>
      <c r="K28" s="70">
        <v>0</v>
      </c>
      <c r="L28" s="133">
        <f t="shared" si="2"/>
        <v>0</v>
      </c>
      <c r="M28" s="70">
        <f t="shared" si="3"/>
        <v>0</v>
      </c>
      <c r="N28" s="77"/>
      <c r="O28" s="152"/>
    </row>
    <row r="29" spans="2:15" ht="15.75" customHeight="1">
      <c r="B29" s="57"/>
      <c r="C29" s="68" t="s">
        <v>370</v>
      </c>
      <c r="D29" s="68" t="s">
        <v>410</v>
      </c>
      <c r="E29" s="68" t="s">
        <v>71</v>
      </c>
      <c r="F29" s="70">
        <v>3</v>
      </c>
      <c r="G29" s="70">
        <v>0</v>
      </c>
      <c r="H29" s="133">
        <f t="shared" si="0"/>
        <v>0</v>
      </c>
      <c r="I29" s="80">
        <f t="shared" si="1"/>
        <v>0</v>
      </c>
      <c r="J29" s="81">
        <v>0</v>
      </c>
      <c r="K29" s="70">
        <v>0</v>
      </c>
      <c r="L29" s="133">
        <f t="shared" si="2"/>
        <v>0</v>
      </c>
      <c r="M29" s="70">
        <f t="shared" si="3"/>
        <v>0</v>
      </c>
      <c r="N29" s="77"/>
    </row>
    <row r="30" spans="2:15" ht="15.75" customHeight="1">
      <c r="B30" s="57"/>
      <c r="C30" s="68" t="s">
        <v>370</v>
      </c>
      <c r="D30" s="68" t="s">
        <v>410</v>
      </c>
      <c r="E30" s="68" t="s">
        <v>70</v>
      </c>
      <c r="F30" s="70">
        <v>3</v>
      </c>
      <c r="G30" s="70">
        <v>0</v>
      </c>
      <c r="H30" s="133">
        <f t="shared" si="0"/>
        <v>0</v>
      </c>
      <c r="I30" s="80">
        <f t="shared" si="1"/>
        <v>0</v>
      </c>
      <c r="J30" s="81">
        <v>0</v>
      </c>
      <c r="K30" s="70">
        <v>0</v>
      </c>
      <c r="L30" s="133">
        <f t="shared" si="2"/>
        <v>0</v>
      </c>
      <c r="M30" s="70">
        <f t="shared" si="3"/>
        <v>0</v>
      </c>
      <c r="N30" s="77"/>
    </row>
    <row r="31" spans="2:15" ht="15.75" customHeight="1">
      <c r="B31" s="57"/>
      <c r="C31" s="68" t="s">
        <v>370</v>
      </c>
      <c r="D31" s="68" t="s">
        <v>410</v>
      </c>
      <c r="E31" s="68" t="s">
        <v>72</v>
      </c>
      <c r="F31" s="70">
        <v>1</v>
      </c>
      <c r="G31" s="70">
        <v>0</v>
      </c>
      <c r="H31" s="133">
        <f t="shared" si="0"/>
        <v>0</v>
      </c>
      <c r="I31" s="80">
        <f t="shared" si="1"/>
        <v>0</v>
      </c>
      <c r="J31" s="81">
        <v>0</v>
      </c>
      <c r="K31" s="70">
        <v>0</v>
      </c>
      <c r="L31" s="133">
        <f t="shared" si="2"/>
        <v>0</v>
      </c>
      <c r="M31" s="70">
        <f t="shared" si="3"/>
        <v>0</v>
      </c>
      <c r="N31" s="77"/>
    </row>
    <row r="32" spans="2:15" ht="15.75" customHeight="1">
      <c r="B32" s="57"/>
      <c r="C32" s="68"/>
      <c r="D32" s="68"/>
      <c r="E32" s="68"/>
      <c r="F32" s="70"/>
      <c r="G32" s="70"/>
      <c r="H32" s="133"/>
      <c r="I32" s="80"/>
      <c r="J32" s="81"/>
      <c r="K32" s="70"/>
      <c r="L32" s="133"/>
      <c r="M32" s="70"/>
      <c r="N32" s="77"/>
    </row>
    <row r="33" spans="2:14" ht="15.75" customHeight="1">
      <c r="B33" s="57"/>
      <c r="C33" s="68"/>
      <c r="D33" s="68"/>
      <c r="E33" s="68"/>
      <c r="F33" s="70"/>
      <c r="G33" s="70"/>
      <c r="H33" s="133"/>
      <c r="I33" s="80"/>
      <c r="J33" s="81"/>
      <c r="K33" s="70"/>
      <c r="L33" s="133"/>
      <c r="M33" s="70"/>
      <c r="N33" s="77"/>
    </row>
    <row r="34" spans="2:14" ht="15.75" customHeight="1">
      <c r="B34" s="57"/>
      <c r="C34" s="68"/>
      <c r="D34" s="68"/>
      <c r="E34" s="68"/>
      <c r="F34" s="70"/>
      <c r="G34" s="70"/>
      <c r="H34" s="133"/>
      <c r="I34" s="80"/>
      <c r="J34" s="81"/>
      <c r="K34" s="70"/>
      <c r="L34" s="133"/>
      <c r="M34" s="70"/>
      <c r="N34" s="77"/>
    </row>
    <row r="35" spans="2:14" ht="15.75" customHeight="1">
      <c r="B35" s="57"/>
      <c r="C35" s="68"/>
      <c r="D35" s="68"/>
      <c r="E35" s="68"/>
      <c r="F35" s="70"/>
      <c r="G35" s="70"/>
      <c r="H35" s="133"/>
      <c r="I35" s="80"/>
      <c r="J35" s="81"/>
      <c r="K35" s="70"/>
      <c r="L35" s="133"/>
      <c r="M35" s="70"/>
      <c r="N35" s="77"/>
    </row>
    <row r="36" spans="2:14" ht="15.75" customHeight="1">
      <c r="B36" s="57"/>
      <c r="C36" s="68"/>
      <c r="D36" s="68"/>
      <c r="E36" s="68"/>
      <c r="F36" s="70"/>
      <c r="G36" s="70"/>
      <c r="H36" s="133"/>
      <c r="I36" s="80"/>
      <c r="J36" s="81"/>
      <c r="K36" s="70"/>
      <c r="L36" s="133"/>
      <c r="M36" s="70"/>
      <c r="N36" s="77"/>
    </row>
    <row r="37" spans="2:14" ht="15.75" customHeight="1">
      <c r="C37" s="68"/>
      <c r="D37" s="68"/>
      <c r="E37" s="68"/>
      <c r="F37" s="70"/>
      <c r="G37" s="70"/>
      <c r="H37" s="133"/>
      <c r="I37" s="80"/>
      <c r="J37" s="81"/>
      <c r="K37" s="70"/>
      <c r="L37" s="133"/>
      <c r="M37" s="70"/>
      <c r="N37" s="77"/>
    </row>
    <row r="38" spans="2:14" ht="15.75" customHeight="1">
      <c r="C38" s="68"/>
      <c r="D38" s="68"/>
      <c r="E38" s="68"/>
      <c r="F38" s="70"/>
      <c r="G38" s="70"/>
      <c r="H38" s="133"/>
      <c r="I38" s="80"/>
      <c r="J38" s="81"/>
      <c r="K38" s="70"/>
      <c r="L38" s="133"/>
      <c r="M38" s="70"/>
      <c r="N38" s="77"/>
    </row>
    <row r="39" spans="2:14" ht="15.75" customHeight="1">
      <c r="C39" s="68"/>
      <c r="D39" s="68"/>
      <c r="E39" s="68"/>
      <c r="F39" s="70"/>
      <c r="G39" s="70"/>
      <c r="H39" s="133"/>
      <c r="I39" s="80"/>
      <c r="J39" s="81"/>
      <c r="K39" s="70"/>
      <c r="L39" s="133"/>
      <c r="M39" s="70"/>
      <c r="N39" s="77"/>
    </row>
    <row r="40" spans="2:14" ht="15.75" customHeight="1">
      <c r="C40" s="68"/>
      <c r="D40" s="68"/>
      <c r="E40" s="68"/>
      <c r="F40" s="70"/>
      <c r="G40" s="70"/>
      <c r="H40" s="133"/>
      <c r="I40" s="80"/>
      <c r="J40" s="81"/>
      <c r="K40" s="70"/>
      <c r="L40" s="133"/>
      <c r="M40" s="70"/>
      <c r="N40" s="77"/>
    </row>
    <row r="41" spans="2:14" ht="15.75" customHeight="1">
      <c r="C41" s="68"/>
      <c r="D41" s="68"/>
      <c r="E41" s="68"/>
      <c r="F41" s="70"/>
      <c r="G41" s="70"/>
      <c r="H41" s="133"/>
      <c r="I41" s="80"/>
      <c r="J41" s="81"/>
      <c r="K41" s="70"/>
      <c r="L41" s="133"/>
      <c r="M41" s="70"/>
      <c r="N41" s="77"/>
    </row>
    <row r="42" spans="2:14" ht="15.75" customHeight="1">
      <c r="C42" s="68"/>
      <c r="D42" s="68"/>
      <c r="E42" s="68"/>
      <c r="F42" s="70"/>
      <c r="G42" s="70"/>
      <c r="H42" s="133"/>
      <c r="I42" s="80"/>
      <c r="J42" s="81"/>
      <c r="K42" s="70"/>
      <c r="L42" s="133"/>
      <c r="M42" s="70"/>
      <c r="N42" s="77"/>
    </row>
    <row r="43" spans="2:14" ht="15.75" customHeight="1">
      <c r="C43" s="68"/>
      <c r="D43" s="68"/>
      <c r="E43" s="68"/>
      <c r="F43" s="70"/>
      <c r="G43" s="70"/>
      <c r="H43" s="133"/>
      <c r="I43" s="80"/>
      <c r="J43" s="81"/>
      <c r="K43" s="70"/>
      <c r="L43" s="133"/>
      <c r="M43" s="70"/>
      <c r="N43" s="77"/>
    </row>
    <row r="44" spans="2:14" ht="15.75" customHeight="1">
      <c r="C44" s="68"/>
      <c r="D44" s="68"/>
      <c r="E44" s="68"/>
      <c r="F44" s="70"/>
      <c r="G44" s="70"/>
      <c r="H44" s="133"/>
      <c r="I44" s="80"/>
      <c r="J44" s="81"/>
      <c r="K44" s="70"/>
      <c r="L44" s="133"/>
      <c r="M44" s="70"/>
      <c r="N44" s="77"/>
    </row>
    <row r="45" spans="2:14" ht="15.75" customHeight="1">
      <c r="C45" s="68"/>
      <c r="D45" s="68"/>
      <c r="E45" s="68"/>
      <c r="F45" s="70"/>
      <c r="G45" s="70"/>
      <c r="H45" s="133"/>
      <c r="I45" s="80"/>
      <c r="J45" s="81"/>
      <c r="K45" s="70"/>
      <c r="L45" s="133"/>
      <c r="M45" s="70"/>
      <c r="N45" s="77"/>
    </row>
    <row r="46" spans="2:14" ht="15.75" customHeight="1">
      <c r="C46" s="68"/>
      <c r="D46" s="68"/>
      <c r="E46" s="68"/>
      <c r="F46" s="70"/>
      <c r="G46" s="70"/>
      <c r="H46" s="133"/>
      <c r="I46" s="80"/>
      <c r="J46" s="81"/>
      <c r="K46" s="70"/>
      <c r="L46" s="133"/>
      <c r="M46" s="70"/>
      <c r="N46" s="77"/>
    </row>
    <row r="47" spans="2:14" ht="15.75" customHeight="1">
      <c r="C47" s="68"/>
      <c r="D47" s="68"/>
      <c r="E47" s="68"/>
      <c r="F47" s="70"/>
      <c r="G47" s="70"/>
      <c r="H47" s="133"/>
      <c r="I47" s="80"/>
      <c r="J47" s="81"/>
      <c r="K47" s="70"/>
      <c r="L47" s="133"/>
      <c r="M47" s="70"/>
      <c r="N47" s="77"/>
    </row>
    <row r="48" spans="2:14" ht="15.75" customHeight="1">
      <c r="C48" s="68"/>
      <c r="D48" s="68"/>
      <c r="E48" s="68"/>
      <c r="F48" s="70"/>
      <c r="G48" s="70"/>
      <c r="H48" s="133"/>
      <c r="I48" s="80"/>
      <c r="J48" s="81"/>
      <c r="K48" s="70"/>
      <c r="L48" s="133"/>
      <c r="M48" s="70"/>
      <c r="N48" s="77"/>
    </row>
    <row r="49" spans="3:15" ht="15.75" customHeight="1">
      <c r="C49" s="68"/>
      <c r="D49" s="68"/>
      <c r="E49" s="68"/>
      <c r="F49" s="70"/>
      <c r="G49" s="70"/>
      <c r="H49" s="133"/>
      <c r="I49" s="80"/>
      <c r="J49" s="81"/>
      <c r="K49" s="70"/>
      <c r="L49" s="133"/>
      <c r="M49" s="70"/>
      <c r="N49" s="77"/>
    </row>
    <row r="50" spans="3:15" ht="15.75" customHeight="1">
      <c r="C50" s="68"/>
      <c r="D50" s="68"/>
      <c r="E50" s="68"/>
      <c r="F50" s="70"/>
      <c r="G50" s="70"/>
      <c r="H50" s="133"/>
      <c r="I50" s="80"/>
      <c r="J50" s="81"/>
      <c r="K50" s="70"/>
      <c r="L50" s="133"/>
      <c r="M50" s="70"/>
      <c r="N50" s="77"/>
      <c r="O50" s="50"/>
    </row>
    <row r="51" spans="3:15" ht="15.75" customHeight="1" thickBot="1">
      <c r="C51" s="68"/>
      <c r="D51" s="68"/>
      <c r="E51" s="68"/>
      <c r="F51" s="70"/>
      <c r="G51" s="70"/>
      <c r="H51" s="133"/>
      <c r="I51" s="80"/>
      <c r="J51" s="81"/>
      <c r="K51" s="70"/>
      <c r="L51" s="133"/>
      <c r="M51" s="70"/>
      <c r="N51" s="78"/>
      <c r="O51" s="50"/>
    </row>
    <row r="52" spans="3:15" ht="15.75" customHeight="1">
      <c r="C52" s="68"/>
      <c r="D52" s="68"/>
      <c r="E52" s="68"/>
      <c r="F52" s="70"/>
      <c r="G52" s="70"/>
      <c r="H52" s="133"/>
      <c r="I52" s="80"/>
      <c r="J52" s="81"/>
      <c r="K52" s="70"/>
      <c r="L52" s="133"/>
      <c r="M52" s="70"/>
    </row>
    <row r="53" spans="3:15" ht="15.75" customHeight="1">
      <c r="C53" s="68"/>
      <c r="D53" s="68"/>
      <c r="E53" s="68"/>
      <c r="F53" s="70"/>
      <c r="G53" s="70"/>
      <c r="H53" s="133"/>
      <c r="I53" s="80"/>
      <c r="J53" s="81"/>
      <c r="K53" s="70"/>
      <c r="L53" s="133"/>
      <c r="M53" s="70"/>
    </row>
    <row r="54" spans="3:15" ht="15.75" customHeight="1">
      <c r="C54" s="68"/>
      <c r="D54" s="68"/>
      <c r="E54" s="68"/>
      <c r="F54" s="70"/>
      <c r="G54" s="70"/>
      <c r="H54" s="133"/>
      <c r="I54" s="80"/>
      <c r="J54" s="81"/>
      <c r="K54" s="70"/>
      <c r="L54" s="133"/>
      <c r="M54" s="70"/>
    </row>
    <row r="55" spans="3:15" ht="15.75" customHeight="1">
      <c r="C55" s="68"/>
      <c r="D55" s="68"/>
      <c r="E55" s="68"/>
      <c r="F55" s="70"/>
      <c r="G55" s="70"/>
      <c r="H55" s="133"/>
      <c r="I55" s="80"/>
      <c r="J55" s="81"/>
      <c r="K55" s="70"/>
      <c r="L55" s="133"/>
      <c r="M55" s="70"/>
    </row>
    <row r="56" spans="3:15" ht="15.75" customHeight="1">
      <c r="C56" s="68"/>
      <c r="D56" s="68"/>
      <c r="E56" s="68"/>
      <c r="F56" s="70"/>
      <c r="G56" s="70"/>
      <c r="H56" s="133"/>
      <c r="I56" s="80"/>
      <c r="J56" s="81"/>
      <c r="K56" s="70"/>
      <c r="L56" s="133"/>
      <c r="M56" s="70"/>
    </row>
    <row r="57" spans="3:15" ht="15.75" customHeight="1">
      <c r="C57" s="68"/>
      <c r="D57" s="68"/>
      <c r="E57" s="68"/>
      <c r="F57" s="70"/>
      <c r="G57" s="70"/>
      <c r="H57" s="133"/>
      <c r="I57" s="80"/>
      <c r="J57" s="81"/>
      <c r="K57" s="70"/>
      <c r="L57" s="133"/>
      <c r="M57" s="70"/>
    </row>
    <row r="58" spans="3:15" ht="15.75" customHeight="1">
      <c r="C58" s="68"/>
      <c r="D58" s="68"/>
      <c r="E58" s="68"/>
      <c r="F58" s="70"/>
      <c r="G58" s="70"/>
      <c r="H58" s="133"/>
      <c r="I58" s="80"/>
      <c r="J58" s="81"/>
      <c r="K58" s="70"/>
      <c r="L58" s="133"/>
      <c r="M58" s="70"/>
    </row>
    <row r="59" spans="3:15" ht="15.75" customHeight="1">
      <c r="C59" s="68"/>
      <c r="D59" s="68"/>
      <c r="E59" s="68"/>
      <c r="F59" s="70"/>
      <c r="G59" s="70"/>
      <c r="H59" s="133"/>
      <c r="I59" s="80"/>
      <c r="J59" s="81"/>
      <c r="K59" s="70"/>
      <c r="L59" s="133"/>
      <c r="M59" s="70"/>
    </row>
    <row r="60" spans="3:15" ht="15.75" customHeight="1">
      <c r="C60" s="68"/>
      <c r="D60" s="68"/>
      <c r="E60" s="68"/>
      <c r="F60" s="70"/>
      <c r="G60" s="70"/>
      <c r="H60" s="133"/>
      <c r="I60" s="80"/>
      <c r="J60" s="81"/>
      <c r="K60" s="70"/>
      <c r="L60" s="133"/>
      <c r="M60" s="70"/>
    </row>
    <row r="61" spans="3:15" ht="15.75" customHeight="1">
      <c r="C61" s="68"/>
      <c r="D61" s="68"/>
      <c r="E61" s="68"/>
      <c r="F61" s="70"/>
      <c r="G61" s="70"/>
      <c r="H61" s="133"/>
      <c r="I61" s="80"/>
      <c r="J61" s="81"/>
      <c r="K61" s="70"/>
      <c r="L61" s="133"/>
      <c r="M61" s="70"/>
    </row>
    <row r="62" spans="3:15" ht="15.75" customHeight="1">
      <c r="C62" s="68"/>
      <c r="D62" s="68"/>
      <c r="E62" s="68"/>
      <c r="F62" s="70"/>
      <c r="G62" s="70"/>
      <c r="H62" s="133"/>
      <c r="I62" s="80"/>
      <c r="J62" s="81"/>
      <c r="K62" s="70"/>
      <c r="L62" s="133"/>
      <c r="M62" s="70"/>
    </row>
    <row r="63" spans="3:15" ht="15.75" customHeight="1">
      <c r="C63" s="68"/>
      <c r="D63" s="68"/>
      <c r="E63" s="68"/>
      <c r="F63" s="70"/>
      <c r="G63" s="70"/>
      <c r="H63" s="133"/>
      <c r="I63" s="80"/>
      <c r="J63" s="81"/>
      <c r="K63" s="70"/>
      <c r="L63" s="133"/>
      <c r="M63" s="70"/>
    </row>
    <row r="64" spans="3:15" ht="15.75" customHeight="1">
      <c r="C64" s="68"/>
      <c r="D64" s="68"/>
      <c r="E64" s="68"/>
      <c r="F64" s="70"/>
      <c r="G64" s="70"/>
      <c r="H64" s="133"/>
      <c r="I64" s="80"/>
      <c r="J64" s="81"/>
      <c r="K64" s="70"/>
      <c r="L64" s="133"/>
      <c r="M64" s="70"/>
    </row>
    <row r="65" spans="3:13" ht="15.75" customHeight="1">
      <c r="C65" s="68"/>
      <c r="D65" s="68"/>
      <c r="E65" s="68"/>
      <c r="F65" s="70"/>
      <c r="G65" s="70"/>
      <c r="H65" s="133"/>
      <c r="I65" s="80"/>
      <c r="J65" s="81"/>
      <c r="K65" s="70"/>
      <c r="L65" s="133"/>
      <c r="M65" s="70"/>
    </row>
    <row r="66" spans="3:13" ht="15.75" customHeight="1">
      <c r="C66" s="68"/>
      <c r="D66" s="68"/>
      <c r="E66" s="68"/>
      <c r="F66" s="70"/>
      <c r="G66" s="70"/>
      <c r="H66" s="133"/>
      <c r="I66" s="80"/>
      <c r="J66" s="81"/>
      <c r="K66" s="70"/>
      <c r="L66" s="133"/>
      <c r="M66" s="70"/>
    </row>
    <row r="67" spans="3:13" ht="15.75" customHeight="1">
      <c r="C67" s="68"/>
      <c r="D67" s="68"/>
      <c r="E67" s="68"/>
      <c r="F67" s="70"/>
      <c r="G67" s="70"/>
      <c r="H67" s="133"/>
      <c r="I67" s="80"/>
      <c r="J67" s="81"/>
      <c r="K67" s="70"/>
      <c r="L67" s="133"/>
      <c r="M67" s="70"/>
    </row>
    <row r="68" spans="3:13" ht="15.75" customHeight="1">
      <c r="C68" s="68"/>
      <c r="D68" s="68"/>
      <c r="E68" s="68"/>
      <c r="F68" s="70"/>
      <c r="G68" s="70"/>
      <c r="H68" s="133"/>
      <c r="I68" s="80"/>
      <c r="J68" s="81"/>
      <c r="K68" s="70"/>
      <c r="L68" s="133"/>
      <c r="M68" s="70"/>
    </row>
    <row r="69" spans="3:13" ht="15.75" customHeight="1">
      <c r="C69" s="68"/>
      <c r="D69" s="68"/>
      <c r="E69" s="68"/>
      <c r="F69" s="70"/>
      <c r="G69" s="70"/>
      <c r="H69" s="133"/>
      <c r="I69" s="80"/>
      <c r="J69" s="81"/>
      <c r="K69" s="70"/>
      <c r="L69" s="133"/>
      <c r="M69" s="70"/>
    </row>
    <row r="70" spans="3:13" ht="15.75" customHeight="1">
      <c r="C70" s="68"/>
      <c r="D70" s="68"/>
      <c r="E70" s="68"/>
      <c r="F70" s="70"/>
      <c r="G70" s="70"/>
      <c r="H70" s="133"/>
      <c r="I70" s="80"/>
      <c r="J70" s="81"/>
      <c r="K70" s="70"/>
      <c r="L70" s="133"/>
      <c r="M70" s="70"/>
    </row>
    <row r="71" spans="3:13" ht="15.75" customHeight="1">
      <c r="C71" s="68"/>
      <c r="D71" s="68"/>
      <c r="E71" s="68"/>
      <c r="F71" s="70"/>
      <c r="G71" s="70"/>
      <c r="H71" s="133"/>
      <c r="I71" s="80"/>
      <c r="J71" s="81"/>
      <c r="K71" s="70"/>
      <c r="L71" s="133"/>
      <c r="M71" s="70"/>
    </row>
    <row r="72" spans="3:13" ht="15.75" customHeight="1">
      <c r="C72" s="68"/>
      <c r="D72" s="68"/>
      <c r="E72" s="68"/>
      <c r="F72" s="70"/>
      <c r="G72" s="70"/>
      <c r="H72" s="133"/>
      <c r="I72" s="80"/>
      <c r="J72" s="81"/>
      <c r="K72" s="70"/>
      <c r="L72" s="133"/>
      <c r="M72" s="70"/>
    </row>
    <row r="73" spans="3:13" ht="15.75" customHeight="1">
      <c r="C73" s="68"/>
      <c r="D73" s="68"/>
      <c r="E73" s="68"/>
      <c r="F73" s="70"/>
      <c r="G73" s="70"/>
      <c r="H73" s="133"/>
      <c r="I73" s="80"/>
      <c r="J73" s="81"/>
      <c r="K73" s="70"/>
      <c r="L73" s="133"/>
      <c r="M73" s="70"/>
    </row>
    <row r="74" spans="3:13" ht="15.75" customHeight="1">
      <c r="C74" s="68"/>
      <c r="D74" s="68"/>
      <c r="E74" s="68"/>
      <c r="F74" s="70"/>
      <c r="G74" s="70"/>
      <c r="H74" s="133"/>
      <c r="I74" s="80"/>
      <c r="J74" s="81"/>
      <c r="K74" s="70"/>
      <c r="L74" s="133"/>
      <c r="M74" s="70"/>
    </row>
    <row r="75" spans="3:13" ht="15.75" customHeight="1">
      <c r="C75" s="68"/>
      <c r="D75" s="68"/>
      <c r="E75" s="68"/>
      <c r="F75" s="70"/>
      <c r="G75" s="70"/>
      <c r="H75" s="133"/>
      <c r="I75" s="80"/>
      <c r="J75" s="81"/>
      <c r="K75" s="70"/>
      <c r="L75" s="133"/>
      <c r="M75" s="70"/>
    </row>
    <row r="76" spans="3:13" ht="15.75" customHeight="1">
      <c r="C76" s="68"/>
      <c r="D76" s="68"/>
      <c r="E76" s="68"/>
      <c r="F76" s="70"/>
      <c r="G76" s="70"/>
      <c r="H76" s="133"/>
      <c r="I76" s="80"/>
      <c r="J76" s="81"/>
      <c r="K76" s="70"/>
      <c r="L76" s="133"/>
      <c r="M76" s="70"/>
    </row>
    <row r="77" spans="3:13" ht="15.75" customHeight="1">
      <c r="C77" s="68"/>
      <c r="D77" s="68"/>
      <c r="E77" s="68"/>
      <c r="F77" s="70"/>
      <c r="G77" s="70"/>
      <c r="H77" s="133"/>
      <c r="I77" s="80"/>
      <c r="J77" s="81"/>
      <c r="K77" s="70"/>
      <c r="L77" s="133"/>
      <c r="M77" s="70"/>
    </row>
    <row r="78" spans="3:13" ht="15.75" customHeight="1">
      <c r="C78" s="68"/>
      <c r="D78" s="68"/>
      <c r="E78" s="68"/>
      <c r="F78" s="70"/>
      <c r="G78" s="70"/>
      <c r="H78" s="133"/>
      <c r="I78" s="80"/>
      <c r="J78" s="81"/>
      <c r="K78" s="70"/>
      <c r="L78" s="133"/>
      <c r="M78" s="70"/>
    </row>
    <row r="79" spans="3:13" ht="15.75" customHeight="1">
      <c r="C79" s="68"/>
      <c r="D79" s="68"/>
      <c r="E79" s="68"/>
      <c r="F79" s="70"/>
      <c r="G79" s="70"/>
      <c r="H79" s="133"/>
      <c r="I79" s="80"/>
      <c r="J79" s="81"/>
      <c r="K79" s="70"/>
      <c r="L79" s="133"/>
      <c r="M79" s="70"/>
    </row>
    <row r="80" spans="3:13" ht="15.75" customHeight="1">
      <c r="C80" s="68"/>
      <c r="D80" s="68"/>
      <c r="E80" s="68"/>
      <c r="F80" s="70"/>
      <c r="G80" s="70"/>
      <c r="H80" s="133"/>
      <c r="I80" s="80"/>
      <c r="J80" s="81"/>
      <c r="K80" s="70"/>
      <c r="L80" s="133"/>
      <c r="M80" s="70"/>
    </row>
    <row r="81" spans="3:13" ht="15.75" customHeight="1">
      <c r="C81" s="68"/>
      <c r="D81" s="68"/>
      <c r="E81" s="68"/>
      <c r="F81" s="70"/>
      <c r="G81" s="70"/>
      <c r="H81" s="133"/>
      <c r="I81" s="80"/>
      <c r="J81" s="81"/>
      <c r="K81" s="70"/>
      <c r="L81" s="133"/>
      <c r="M81" s="70"/>
    </row>
    <row r="82" spans="3:13" ht="15.75" customHeight="1">
      <c r="C82" s="68"/>
      <c r="D82" s="68"/>
      <c r="E82" s="68"/>
      <c r="F82" s="70"/>
      <c r="G82" s="70"/>
      <c r="H82" s="133"/>
      <c r="I82" s="80"/>
      <c r="J82" s="81"/>
      <c r="K82" s="70"/>
      <c r="L82" s="133"/>
      <c r="M82" s="70"/>
    </row>
    <row r="83" spans="3:13" ht="15.75" customHeight="1">
      <c r="C83" s="68"/>
      <c r="D83" s="68"/>
      <c r="E83" s="68"/>
      <c r="F83" s="70"/>
      <c r="G83" s="70"/>
      <c r="H83" s="133"/>
      <c r="I83" s="80"/>
      <c r="J83" s="81"/>
      <c r="K83" s="70"/>
      <c r="L83" s="133"/>
      <c r="M83" s="70"/>
    </row>
    <row r="84" spans="3:13" ht="15.75" customHeight="1">
      <c r="C84" s="68"/>
      <c r="D84" s="68"/>
      <c r="E84" s="68"/>
      <c r="F84" s="70"/>
      <c r="G84" s="70"/>
      <c r="H84" s="133"/>
      <c r="I84" s="80"/>
      <c r="J84" s="81"/>
      <c r="K84" s="70"/>
      <c r="L84" s="133"/>
      <c r="M84" s="70"/>
    </row>
    <row r="85" spans="3:13" ht="15.75" customHeight="1">
      <c r="C85" s="68"/>
      <c r="D85" s="68"/>
      <c r="E85" s="68"/>
      <c r="F85" s="70"/>
      <c r="G85" s="70"/>
      <c r="H85" s="133"/>
      <c r="I85" s="80"/>
      <c r="J85" s="81"/>
      <c r="K85" s="70"/>
      <c r="L85" s="133"/>
      <c r="M85" s="70"/>
    </row>
    <row r="86" spans="3:13" ht="15.75" customHeight="1">
      <c r="C86" s="68"/>
      <c r="D86" s="68"/>
      <c r="E86" s="68"/>
      <c r="F86" s="70"/>
      <c r="G86" s="70"/>
      <c r="H86" s="133"/>
      <c r="I86" s="80"/>
      <c r="J86" s="81"/>
      <c r="K86" s="70"/>
      <c r="L86" s="133"/>
      <c r="M86" s="70"/>
    </row>
    <row r="87" spans="3:13" ht="15.75" customHeight="1">
      <c r="C87" s="68"/>
      <c r="D87" s="68"/>
      <c r="E87" s="68"/>
      <c r="F87" s="70"/>
      <c r="G87" s="70"/>
      <c r="H87" s="133"/>
      <c r="I87" s="80"/>
      <c r="J87" s="81"/>
      <c r="K87" s="70"/>
      <c r="L87" s="133"/>
      <c r="M87" s="70"/>
    </row>
    <row r="88" spans="3:13" ht="15.75" customHeight="1">
      <c r="C88" s="68"/>
      <c r="D88" s="68"/>
      <c r="E88" s="68"/>
      <c r="F88" s="70"/>
      <c r="G88" s="70"/>
      <c r="H88" s="133"/>
      <c r="I88" s="80"/>
      <c r="J88" s="81"/>
      <c r="K88" s="70"/>
      <c r="L88" s="133"/>
      <c r="M88" s="70"/>
    </row>
    <row r="89" spans="3:13" ht="15.75" customHeight="1">
      <c r="C89" s="68"/>
      <c r="D89" s="68"/>
      <c r="E89" s="68"/>
      <c r="F89" s="70"/>
      <c r="G89" s="70"/>
      <c r="H89" s="133"/>
      <c r="I89" s="80"/>
      <c r="J89" s="81"/>
      <c r="K89" s="70"/>
      <c r="L89" s="133"/>
      <c r="M89" s="70"/>
    </row>
    <row r="90" spans="3:13" ht="15.75" customHeight="1">
      <c r="C90" s="68"/>
      <c r="D90" s="68"/>
      <c r="E90" s="68"/>
      <c r="F90" s="70"/>
      <c r="G90" s="70"/>
      <c r="H90" s="133"/>
      <c r="I90" s="80"/>
      <c r="J90" s="81"/>
      <c r="K90" s="70"/>
      <c r="L90" s="133"/>
      <c r="M90" s="70"/>
    </row>
    <row r="91" spans="3:13" ht="15.75" customHeight="1">
      <c r="C91" s="68"/>
      <c r="D91" s="68"/>
      <c r="E91" s="68"/>
      <c r="F91" s="70"/>
      <c r="G91" s="70"/>
      <c r="H91" s="133"/>
      <c r="I91" s="80"/>
      <c r="J91" s="81"/>
      <c r="K91" s="70"/>
      <c r="L91" s="133"/>
      <c r="M91" s="70"/>
    </row>
    <row r="92" spans="3:13" ht="15.75" customHeight="1">
      <c r="C92" s="68"/>
      <c r="D92" s="68"/>
      <c r="E92" s="68"/>
      <c r="F92" s="70"/>
      <c r="G92" s="70"/>
      <c r="H92" s="133"/>
      <c r="I92" s="80"/>
      <c r="J92" s="81"/>
      <c r="K92" s="70"/>
      <c r="L92" s="133"/>
      <c r="M92" s="70"/>
    </row>
    <row r="93" spans="3:13" ht="15.75" customHeight="1">
      <c r="C93" s="68"/>
      <c r="D93" s="68"/>
      <c r="E93" s="68"/>
      <c r="F93" s="70"/>
      <c r="G93" s="70"/>
      <c r="H93" s="133"/>
      <c r="I93" s="80"/>
      <c r="J93" s="81"/>
      <c r="K93" s="70"/>
      <c r="L93" s="133"/>
      <c r="M93" s="70"/>
    </row>
    <row r="94" spans="3:13" ht="15.75" customHeight="1">
      <c r="C94" s="68"/>
      <c r="D94" s="68"/>
      <c r="E94" s="68"/>
      <c r="F94" s="70"/>
      <c r="G94" s="70"/>
      <c r="H94" s="133"/>
      <c r="I94" s="80"/>
      <c r="J94" s="81"/>
      <c r="K94" s="70"/>
      <c r="L94" s="133"/>
      <c r="M94" s="70"/>
    </row>
    <row r="95" spans="3:13" ht="15.75" customHeight="1">
      <c r="C95" s="68"/>
      <c r="D95" s="68"/>
      <c r="E95" s="68"/>
      <c r="F95" s="70"/>
      <c r="G95" s="70"/>
      <c r="H95" s="133"/>
      <c r="I95" s="80"/>
      <c r="J95" s="81"/>
      <c r="K95" s="70"/>
      <c r="L95" s="133"/>
      <c r="M95" s="70"/>
    </row>
    <row r="96" spans="3:13" ht="15.75" customHeight="1">
      <c r="C96" s="68"/>
      <c r="D96" s="68"/>
      <c r="E96" s="68"/>
      <c r="F96" s="70"/>
      <c r="G96" s="70"/>
      <c r="H96" s="133"/>
      <c r="I96" s="80"/>
      <c r="J96" s="81"/>
      <c r="K96" s="70"/>
      <c r="L96" s="133"/>
      <c r="M96" s="70"/>
    </row>
    <row r="97" spans="3:13" ht="15.75" customHeight="1">
      <c r="C97" s="68"/>
      <c r="D97" s="68"/>
      <c r="E97" s="68"/>
      <c r="F97" s="70"/>
      <c r="G97" s="70"/>
      <c r="H97" s="133"/>
      <c r="I97" s="80"/>
      <c r="J97" s="81"/>
      <c r="K97" s="70"/>
      <c r="L97" s="133"/>
      <c r="M97" s="70"/>
    </row>
    <row r="98" spans="3:13" ht="15.75" customHeight="1">
      <c r="C98" s="68"/>
      <c r="D98" s="68"/>
      <c r="E98" s="68"/>
      <c r="F98" s="70"/>
      <c r="G98" s="70"/>
      <c r="H98" s="133"/>
      <c r="I98" s="80"/>
      <c r="J98" s="81"/>
      <c r="K98" s="70"/>
      <c r="L98" s="133"/>
      <c r="M98" s="70"/>
    </row>
    <row r="99" spans="3:13" ht="15.75" customHeight="1">
      <c r="C99" s="68"/>
      <c r="D99" s="68"/>
      <c r="E99" s="68"/>
      <c r="F99" s="70"/>
      <c r="G99" s="70"/>
      <c r="H99" s="133"/>
      <c r="I99" s="80"/>
      <c r="J99" s="81"/>
      <c r="K99" s="70"/>
      <c r="L99" s="133"/>
      <c r="M99" s="70"/>
    </row>
    <row r="100" spans="3:13" ht="15.75" customHeight="1">
      <c r="C100" s="68"/>
      <c r="D100" s="68"/>
      <c r="E100" s="68"/>
      <c r="F100" s="70"/>
      <c r="G100" s="70"/>
      <c r="H100" s="133"/>
      <c r="I100" s="80"/>
      <c r="J100" s="81"/>
      <c r="K100" s="70"/>
      <c r="L100" s="133"/>
      <c r="M100" s="70"/>
    </row>
    <row r="101" spans="3:13" ht="15.75" customHeight="1">
      <c r="C101" s="68"/>
      <c r="D101" s="68"/>
      <c r="E101" s="68"/>
      <c r="F101" s="70"/>
      <c r="G101" s="70"/>
      <c r="H101" s="133"/>
      <c r="I101" s="80"/>
      <c r="J101" s="81"/>
      <c r="K101" s="70"/>
      <c r="L101" s="133"/>
      <c r="M101" s="70"/>
    </row>
    <row r="102" spans="3:13" ht="15.75" customHeight="1">
      <c r="C102" s="68"/>
      <c r="D102" s="68"/>
      <c r="E102" s="68"/>
      <c r="F102" s="70"/>
      <c r="G102" s="70"/>
      <c r="H102" s="133"/>
      <c r="I102" s="80"/>
      <c r="J102" s="81"/>
      <c r="K102" s="70"/>
      <c r="L102" s="133"/>
      <c r="M102" s="70"/>
    </row>
    <row r="103" spans="3:13" ht="15.75" customHeight="1">
      <c r="C103" s="68"/>
      <c r="D103" s="68"/>
      <c r="E103" s="68"/>
      <c r="F103" s="70"/>
      <c r="G103" s="70"/>
      <c r="H103" s="133"/>
      <c r="I103" s="80"/>
      <c r="J103" s="81"/>
      <c r="K103" s="70"/>
      <c r="L103" s="133"/>
      <c r="M103" s="70"/>
    </row>
    <row r="104" spans="3:13" ht="15.75" customHeight="1">
      <c r="C104" s="68"/>
      <c r="D104" s="68"/>
      <c r="E104" s="68"/>
      <c r="F104" s="70"/>
      <c r="G104" s="70"/>
      <c r="H104" s="133"/>
      <c r="I104" s="80"/>
      <c r="J104" s="81"/>
      <c r="K104" s="70"/>
      <c r="L104" s="133"/>
      <c r="M104" s="70"/>
    </row>
    <row r="105" spans="3:13" ht="15.75" customHeight="1">
      <c r="C105" s="68"/>
      <c r="D105" s="68"/>
      <c r="E105" s="68"/>
      <c r="F105" s="70"/>
      <c r="G105" s="70"/>
      <c r="H105" s="133"/>
      <c r="I105" s="80"/>
      <c r="J105" s="81"/>
      <c r="K105" s="70"/>
      <c r="L105" s="133"/>
      <c r="M105" s="70"/>
    </row>
    <row r="106" spans="3:13" ht="15.75" customHeight="1">
      <c r="C106" s="68"/>
      <c r="D106" s="68"/>
      <c r="E106" s="68"/>
      <c r="F106" s="70"/>
      <c r="G106" s="70"/>
      <c r="H106" s="133"/>
      <c r="I106" s="80"/>
      <c r="J106" s="81"/>
      <c r="K106" s="70"/>
      <c r="L106" s="133"/>
      <c r="M106" s="70"/>
    </row>
    <row r="107" spans="3:13" ht="15.75" customHeight="1">
      <c r="C107" s="68"/>
      <c r="D107" s="68"/>
      <c r="E107" s="68"/>
      <c r="F107" s="70"/>
      <c r="G107" s="70"/>
      <c r="H107" s="133"/>
      <c r="I107" s="80"/>
      <c r="J107" s="81"/>
      <c r="K107" s="70"/>
      <c r="L107" s="133"/>
      <c r="M107" s="70"/>
    </row>
    <row r="108" spans="3:13" ht="15.75" customHeight="1">
      <c r="C108" s="68"/>
      <c r="D108" s="68"/>
      <c r="E108" s="68"/>
      <c r="F108" s="70"/>
      <c r="G108" s="70"/>
      <c r="H108" s="133"/>
      <c r="I108" s="80"/>
      <c r="J108" s="81"/>
      <c r="K108" s="70"/>
      <c r="L108" s="133"/>
      <c r="M108" s="70"/>
    </row>
    <row r="109" spans="3:13" ht="15.75" customHeight="1">
      <c r="C109" s="68"/>
      <c r="D109" s="68"/>
      <c r="E109" s="68"/>
      <c r="F109" s="70"/>
      <c r="G109" s="70"/>
      <c r="H109" s="133"/>
      <c r="I109" s="80"/>
      <c r="J109" s="81"/>
      <c r="K109" s="70"/>
      <c r="L109" s="133"/>
      <c r="M109" s="70"/>
    </row>
    <row r="110" spans="3:13" ht="15.75" customHeight="1">
      <c r="C110" s="68"/>
      <c r="D110" s="68"/>
      <c r="E110" s="68"/>
      <c r="F110" s="70"/>
      <c r="G110" s="70"/>
      <c r="H110" s="133"/>
      <c r="I110" s="80"/>
      <c r="J110" s="81"/>
      <c r="K110" s="70"/>
      <c r="L110" s="133"/>
      <c r="M110" s="70"/>
    </row>
    <row r="111" spans="3:13" ht="15.75" customHeight="1">
      <c r="C111" s="68"/>
      <c r="D111" s="68"/>
      <c r="E111" s="68"/>
      <c r="F111" s="70"/>
      <c r="G111" s="70"/>
      <c r="H111" s="133"/>
      <c r="I111" s="80"/>
      <c r="J111" s="81"/>
      <c r="K111" s="70"/>
      <c r="L111" s="133"/>
      <c r="M111" s="70"/>
    </row>
    <row r="112" spans="3:13" ht="15.75" customHeight="1">
      <c r="C112" s="68"/>
      <c r="D112" s="68"/>
      <c r="E112" s="68"/>
      <c r="F112" s="70"/>
      <c r="G112" s="70"/>
      <c r="H112" s="133"/>
      <c r="I112" s="80"/>
      <c r="J112" s="81"/>
      <c r="K112" s="70"/>
      <c r="L112" s="133"/>
      <c r="M112" s="70"/>
    </row>
    <row r="113" spans="3:13" ht="15.75" customHeight="1">
      <c r="C113" s="68"/>
      <c r="D113" s="68"/>
      <c r="E113" s="68"/>
      <c r="F113" s="70"/>
      <c r="G113" s="70"/>
      <c r="H113" s="133"/>
      <c r="I113" s="80"/>
      <c r="J113" s="81"/>
      <c r="K113" s="70"/>
      <c r="L113" s="133"/>
      <c r="M113" s="70"/>
    </row>
    <row r="114" spans="3:13" ht="15.75" customHeight="1">
      <c r="C114" s="68"/>
      <c r="D114" s="68"/>
      <c r="E114" s="68"/>
      <c r="F114" s="70"/>
      <c r="G114" s="70"/>
      <c r="H114" s="133"/>
      <c r="I114" s="80"/>
      <c r="J114" s="81"/>
      <c r="K114" s="70"/>
      <c r="L114" s="133"/>
      <c r="M114" s="70"/>
    </row>
    <row r="115" spans="3:13" ht="15.75" customHeight="1">
      <c r="C115" s="68"/>
      <c r="D115" s="68"/>
      <c r="E115" s="68"/>
      <c r="F115" s="70"/>
      <c r="G115" s="70"/>
      <c r="H115" s="133"/>
      <c r="I115" s="80"/>
      <c r="J115" s="81"/>
      <c r="K115" s="70"/>
      <c r="L115" s="133"/>
      <c r="M115" s="70"/>
    </row>
    <row r="116" spans="3:13" ht="15.75" customHeight="1">
      <c r="C116" s="68"/>
      <c r="D116" s="68"/>
      <c r="E116" s="68"/>
      <c r="F116" s="70"/>
      <c r="G116" s="70"/>
      <c r="H116" s="133"/>
      <c r="I116" s="80"/>
      <c r="J116" s="81"/>
      <c r="K116" s="70"/>
      <c r="L116" s="133"/>
      <c r="M116" s="70"/>
    </row>
    <row r="117" spans="3:13" ht="15.75" customHeight="1">
      <c r="C117" s="68"/>
      <c r="D117" s="68"/>
      <c r="E117" s="68"/>
      <c r="F117" s="70"/>
      <c r="G117" s="70"/>
      <c r="H117" s="133"/>
      <c r="I117" s="80"/>
      <c r="J117" s="81"/>
      <c r="K117" s="70"/>
      <c r="L117" s="133"/>
      <c r="M117" s="70"/>
    </row>
    <row r="118" spans="3:13" ht="15.75" customHeight="1">
      <c r="C118" s="68"/>
      <c r="D118" s="68"/>
      <c r="E118" s="68"/>
      <c r="F118" s="70"/>
      <c r="G118" s="70"/>
      <c r="H118" s="133"/>
      <c r="I118" s="80"/>
      <c r="J118" s="81"/>
      <c r="K118" s="70"/>
      <c r="L118" s="133"/>
      <c r="M118" s="70"/>
    </row>
    <row r="119" spans="3:13" ht="15.75" customHeight="1">
      <c r="C119" s="68"/>
      <c r="D119" s="68"/>
      <c r="E119" s="68"/>
      <c r="F119" s="70"/>
      <c r="G119" s="70"/>
      <c r="H119" s="133"/>
      <c r="I119" s="80"/>
      <c r="J119" s="81"/>
      <c r="K119" s="70"/>
      <c r="L119" s="133"/>
      <c r="M119" s="70"/>
    </row>
    <row r="120" spans="3:13" ht="15.75" customHeight="1">
      <c r="C120" s="68"/>
      <c r="D120" s="68"/>
      <c r="E120" s="68"/>
      <c r="F120" s="70"/>
      <c r="G120" s="70"/>
      <c r="H120" s="133"/>
      <c r="I120" s="80"/>
      <c r="J120" s="81"/>
      <c r="K120" s="70"/>
      <c r="L120" s="133"/>
      <c r="M120" s="70"/>
    </row>
    <row r="121" spans="3:13" ht="15.75" customHeight="1">
      <c r="C121" s="68"/>
      <c r="D121" s="68"/>
      <c r="E121" s="68"/>
      <c r="F121" s="70"/>
      <c r="G121" s="70"/>
      <c r="H121" s="133"/>
      <c r="I121" s="80"/>
      <c r="J121" s="81"/>
      <c r="K121" s="70"/>
      <c r="L121" s="133"/>
      <c r="M121" s="70"/>
    </row>
    <row r="122" spans="3:13" ht="15.75" customHeight="1">
      <c r="C122" s="68"/>
      <c r="D122" s="68"/>
      <c r="E122" s="68"/>
      <c r="F122" s="70"/>
      <c r="G122" s="70"/>
      <c r="H122" s="133"/>
      <c r="I122" s="80"/>
      <c r="J122" s="81"/>
      <c r="K122" s="70"/>
      <c r="L122" s="133"/>
      <c r="M122" s="70"/>
    </row>
    <row r="123" spans="3:13" ht="15.75" customHeight="1">
      <c r="C123" s="68"/>
      <c r="D123" s="68"/>
      <c r="E123" s="68"/>
      <c r="F123" s="70"/>
      <c r="G123" s="70"/>
      <c r="H123" s="133"/>
      <c r="I123" s="80"/>
      <c r="J123" s="81"/>
      <c r="K123" s="70"/>
      <c r="L123" s="133"/>
      <c r="M123" s="70"/>
    </row>
    <row r="124" spans="3:13" ht="15.75" customHeight="1">
      <c r="C124" s="68"/>
      <c r="D124" s="68"/>
      <c r="E124" s="68"/>
      <c r="F124" s="70"/>
      <c r="G124" s="70"/>
      <c r="H124" s="133"/>
      <c r="I124" s="80"/>
      <c r="J124" s="81"/>
      <c r="K124" s="70"/>
      <c r="L124" s="133"/>
      <c r="M124" s="70"/>
    </row>
    <row r="125" spans="3:13" ht="15.75" customHeight="1">
      <c r="C125" s="68"/>
      <c r="D125" s="68"/>
      <c r="E125" s="68"/>
      <c r="F125" s="70"/>
      <c r="G125" s="70"/>
      <c r="H125" s="133"/>
      <c r="I125" s="80"/>
      <c r="J125" s="81"/>
      <c r="K125" s="70"/>
      <c r="L125" s="133"/>
      <c r="M125" s="70"/>
    </row>
    <row r="126" spans="3:13" ht="15.75" customHeight="1">
      <c r="C126" s="68"/>
      <c r="D126" s="68"/>
      <c r="E126" s="68"/>
      <c r="F126" s="70"/>
      <c r="G126" s="70"/>
      <c r="H126" s="133"/>
      <c r="I126" s="80"/>
      <c r="J126" s="81"/>
      <c r="K126" s="70"/>
      <c r="L126" s="133"/>
      <c r="M126" s="70"/>
    </row>
    <row r="127" spans="3:13" ht="15.75" customHeight="1">
      <c r="C127" s="68"/>
      <c r="D127" s="68"/>
      <c r="E127" s="68"/>
      <c r="F127" s="70"/>
      <c r="G127" s="70"/>
      <c r="H127" s="133"/>
      <c r="I127" s="80"/>
      <c r="J127" s="81"/>
      <c r="K127" s="70"/>
      <c r="L127" s="133"/>
      <c r="M127" s="70"/>
    </row>
    <row r="128" spans="3:13" ht="15.75" customHeight="1">
      <c r="C128" s="68"/>
      <c r="D128" s="68"/>
      <c r="E128" s="68"/>
      <c r="F128" s="70"/>
      <c r="G128" s="70"/>
      <c r="H128" s="133"/>
      <c r="I128" s="80"/>
      <c r="J128" s="81"/>
      <c r="K128" s="70"/>
      <c r="L128" s="133"/>
      <c r="M128" s="70"/>
    </row>
    <row r="129" spans="3:13" ht="15.75" customHeight="1">
      <c r="C129" s="68"/>
      <c r="D129" s="68"/>
      <c r="E129" s="68"/>
      <c r="F129" s="70"/>
      <c r="G129" s="70"/>
      <c r="H129" s="133"/>
      <c r="I129" s="80"/>
      <c r="J129" s="81"/>
      <c r="K129" s="70"/>
      <c r="L129" s="133"/>
      <c r="M129" s="70"/>
    </row>
    <row r="130" spans="3:13" ht="15.75" customHeight="1">
      <c r="C130" s="68"/>
      <c r="D130" s="68"/>
      <c r="E130" s="68"/>
      <c r="F130" s="70"/>
      <c r="G130" s="70"/>
      <c r="H130" s="133"/>
      <c r="I130" s="80"/>
      <c r="J130" s="81"/>
      <c r="K130" s="70"/>
      <c r="L130" s="133"/>
      <c r="M130" s="70"/>
    </row>
    <row r="131" spans="3:13" ht="15.75" customHeight="1">
      <c r="C131" s="68"/>
      <c r="D131" s="68"/>
      <c r="E131" s="68"/>
      <c r="F131" s="70"/>
      <c r="G131" s="70"/>
      <c r="H131" s="133"/>
      <c r="I131" s="80"/>
      <c r="J131" s="81"/>
      <c r="K131" s="70"/>
      <c r="L131" s="133"/>
      <c r="M131" s="70"/>
    </row>
    <row r="132" spans="3:13" ht="15.75" customHeight="1">
      <c r="C132" s="68"/>
      <c r="D132" s="68"/>
      <c r="E132" s="68"/>
      <c r="F132" s="70"/>
      <c r="G132" s="70"/>
      <c r="H132" s="133"/>
      <c r="I132" s="80"/>
      <c r="J132" s="81"/>
      <c r="K132" s="70"/>
      <c r="L132" s="133"/>
      <c r="M132" s="70"/>
    </row>
    <row r="133" spans="3:13" ht="15.75" customHeight="1">
      <c r="C133" s="68"/>
      <c r="D133" s="68"/>
      <c r="E133" s="68"/>
      <c r="F133" s="70"/>
      <c r="G133" s="70"/>
      <c r="H133" s="133"/>
      <c r="I133" s="80"/>
      <c r="J133" s="81"/>
      <c r="K133" s="70"/>
      <c r="L133" s="133"/>
      <c r="M133" s="70"/>
    </row>
    <row r="134" spans="3:13" ht="15.75" customHeight="1">
      <c r="C134" s="68"/>
      <c r="D134" s="68"/>
      <c r="E134" s="68"/>
      <c r="F134" s="70"/>
      <c r="G134" s="70"/>
      <c r="H134" s="133"/>
      <c r="I134" s="80"/>
      <c r="J134" s="81"/>
      <c r="K134" s="70"/>
      <c r="L134" s="133"/>
      <c r="M134" s="70"/>
    </row>
    <row r="135" spans="3:13" ht="15.75" customHeight="1">
      <c r="C135" s="68"/>
      <c r="D135" s="68"/>
      <c r="E135" s="68"/>
      <c r="F135" s="70"/>
      <c r="G135" s="70"/>
      <c r="H135" s="133"/>
      <c r="I135" s="80"/>
      <c r="J135" s="81"/>
      <c r="K135" s="70"/>
      <c r="L135" s="133"/>
      <c r="M135" s="70"/>
    </row>
    <row r="136" spans="3:13" ht="15.75" customHeight="1">
      <c r="C136" s="68"/>
      <c r="D136" s="68"/>
      <c r="E136" s="68"/>
      <c r="F136" s="70"/>
      <c r="G136" s="70"/>
      <c r="H136" s="133"/>
      <c r="I136" s="80"/>
      <c r="J136" s="81"/>
      <c r="K136" s="70"/>
      <c r="L136" s="133"/>
      <c r="M136" s="70"/>
    </row>
    <row r="137" spans="3:13" ht="15.75" customHeight="1">
      <c r="C137" s="68"/>
      <c r="D137" s="68"/>
      <c r="E137" s="68"/>
      <c r="F137" s="70"/>
      <c r="G137" s="70"/>
      <c r="H137" s="133"/>
      <c r="I137" s="80"/>
      <c r="J137" s="81"/>
      <c r="K137" s="70"/>
      <c r="L137" s="133"/>
      <c r="M137" s="70"/>
    </row>
    <row r="138" spans="3:13" ht="15.75" customHeight="1">
      <c r="C138" s="68"/>
      <c r="D138" s="68"/>
      <c r="E138" s="68"/>
      <c r="F138" s="70"/>
      <c r="G138" s="70"/>
      <c r="H138" s="133"/>
      <c r="I138" s="80"/>
      <c r="J138" s="81"/>
      <c r="K138" s="70"/>
      <c r="L138" s="133"/>
      <c r="M138" s="70"/>
    </row>
    <row r="139" spans="3:13" ht="15.75" customHeight="1">
      <c r="C139" s="68"/>
      <c r="D139" s="68"/>
      <c r="E139" s="68"/>
      <c r="F139" s="70"/>
      <c r="G139" s="70"/>
      <c r="H139" s="133"/>
      <c r="I139" s="80"/>
      <c r="J139" s="81"/>
      <c r="K139" s="70"/>
      <c r="L139" s="133"/>
      <c r="M139" s="70"/>
    </row>
    <row r="140" spans="3:13" ht="15.75" customHeight="1">
      <c r="C140" s="68"/>
      <c r="D140" s="68"/>
      <c r="E140" s="68"/>
      <c r="F140" s="70"/>
      <c r="G140" s="70"/>
      <c r="H140" s="133"/>
      <c r="I140" s="80"/>
      <c r="J140" s="81"/>
      <c r="K140" s="70"/>
      <c r="L140" s="133"/>
      <c r="M140" s="70"/>
    </row>
    <row r="141" spans="3:13" ht="15.75" customHeight="1">
      <c r="C141" s="68"/>
      <c r="D141" s="68"/>
      <c r="E141" s="68"/>
      <c r="F141" s="70"/>
      <c r="G141" s="70"/>
      <c r="H141" s="133"/>
      <c r="I141" s="80"/>
      <c r="J141" s="81"/>
      <c r="K141" s="70"/>
      <c r="L141" s="133"/>
      <c r="M141" s="70"/>
    </row>
    <row r="142" spans="3:13" ht="15.75" customHeight="1">
      <c r="C142" s="68"/>
      <c r="D142" s="68"/>
      <c r="E142" s="68"/>
      <c r="F142" s="70"/>
      <c r="G142" s="70"/>
      <c r="H142" s="133"/>
      <c r="I142" s="80"/>
      <c r="J142" s="81"/>
      <c r="K142" s="70"/>
      <c r="L142" s="133"/>
      <c r="M142" s="70"/>
    </row>
    <row r="143" spans="3:13" ht="15.75" customHeight="1">
      <c r="C143" s="68"/>
      <c r="D143" s="68"/>
      <c r="E143" s="68"/>
      <c r="F143" s="70"/>
      <c r="G143" s="70"/>
      <c r="H143" s="133"/>
      <c r="I143" s="80"/>
      <c r="J143" s="81"/>
      <c r="K143" s="70"/>
      <c r="L143" s="133"/>
      <c r="M143" s="70"/>
    </row>
    <row r="144" spans="3:13" ht="15.75" customHeight="1">
      <c r="C144" s="68"/>
      <c r="D144" s="68"/>
      <c r="E144" s="68"/>
      <c r="F144" s="70"/>
      <c r="G144" s="70"/>
      <c r="H144" s="133"/>
      <c r="I144" s="80"/>
      <c r="J144" s="81"/>
      <c r="K144" s="70"/>
      <c r="L144" s="133"/>
      <c r="M144" s="70"/>
    </row>
    <row r="145" spans="3:13" ht="15.75" customHeight="1">
      <c r="C145" s="68"/>
      <c r="D145" s="68"/>
      <c r="E145" s="68"/>
      <c r="F145" s="70"/>
      <c r="G145" s="70"/>
      <c r="H145" s="133"/>
      <c r="I145" s="80"/>
      <c r="J145" s="81"/>
      <c r="K145" s="70"/>
      <c r="L145" s="133"/>
      <c r="M145" s="70"/>
    </row>
    <row r="146" spans="3:13" ht="15.75" customHeight="1">
      <c r="C146" s="68"/>
      <c r="D146" s="68"/>
      <c r="E146" s="68"/>
      <c r="F146" s="70"/>
      <c r="G146" s="70"/>
      <c r="H146" s="133"/>
      <c r="I146" s="80"/>
      <c r="J146" s="81"/>
      <c r="K146" s="70"/>
      <c r="L146" s="133"/>
      <c r="M146" s="70"/>
    </row>
    <row r="147" spans="3:13" ht="15.75" customHeight="1">
      <c r="C147" s="68"/>
      <c r="D147" s="68"/>
      <c r="E147" s="68"/>
      <c r="F147" s="70"/>
      <c r="G147" s="70"/>
      <c r="H147" s="133"/>
      <c r="I147" s="80"/>
      <c r="J147" s="81"/>
      <c r="K147" s="70"/>
      <c r="L147" s="133"/>
      <c r="M147" s="70"/>
    </row>
    <row r="148" spans="3:13" ht="15.75" customHeight="1">
      <c r="C148" s="68"/>
      <c r="D148" s="68"/>
      <c r="E148" s="68"/>
      <c r="F148" s="70"/>
      <c r="G148" s="70"/>
      <c r="H148" s="133"/>
      <c r="I148" s="80"/>
      <c r="J148" s="81"/>
      <c r="K148" s="70"/>
      <c r="L148" s="133"/>
      <c r="M148" s="70"/>
    </row>
    <row r="149" spans="3:13" ht="15.75" customHeight="1">
      <c r="C149" s="68"/>
      <c r="D149" s="68"/>
      <c r="E149" s="68"/>
      <c r="F149" s="70"/>
      <c r="G149" s="70"/>
      <c r="H149" s="133"/>
      <c r="I149" s="80"/>
      <c r="J149" s="81"/>
      <c r="K149" s="70"/>
      <c r="L149" s="133"/>
      <c r="M149" s="70"/>
    </row>
    <row r="150" spans="3:13" ht="15.75" customHeight="1">
      <c r="C150" s="68"/>
      <c r="D150" s="68"/>
      <c r="E150" s="68"/>
      <c r="F150" s="70"/>
      <c r="G150" s="70"/>
      <c r="H150" s="133"/>
      <c r="I150" s="80"/>
      <c r="J150" s="81"/>
      <c r="K150" s="70"/>
      <c r="L150" s="133"/>
      <c r="M150" s="70"/>
    </row>
    <row r="151" spans="3:13" ht="15.75" customHeight="1">
      <c r="C151" s="68"/>
      <c r="D151" s="68"/>
      <c r="E151" s="68"/>
      <c r="F151" s="70"/>
      <c r="G151" s="70"/>
      <c r="H151" s="133"/>
      <c r="I151" s="80"/>
      <c r="J151" s="81"/>
      <c r="K151" s="70"/>
      <c r="L151" s="133"/>
      <c r="M151" s="70"/>
    </row>
    <row r="152" spans="3:13" ht="15.75" customHeight="1">
      <c r="C152" s="68"/>
      <c r="D152" s="68"/>
      <c r="E152" s="68"/>
      <c r="F152" s="70"/>
      <c r="G152" s="70"/>
      <c r="H152" s="133"/>
      <c r="I152" s="80"/>
      <c r="J152" s="81"/>
      <c r="K152" s="70"/>
      <c r="L152" s="133"/>
      <c r="M152" s="70"/>
    </row>
    <row r="153" spans="3:13" ht="15.75" customHeight="1">
      <c r="C153" s="68"/>
      <c r="D153" s="68"/>
      <c r="E153" s="68"/>
      <c r="F153" s="70"/>
      <c r="G153" s="70"/>
      <c r="H153" s="133"/>
      <c r="I153" s="80"/>
      <c r="J153" s="81"/>
      <c r="K153" s="70"/>
      <c r="L153" s="133"/>
      <c r="M153" s="70"/>
    </row>
    <row r="154" spans="3:13" ht="15.75" customHeight="1">
      <c r="C154" s="68"/>
      <c r="D154" s="68"/>
      <c r="E154" s="68"/>
      <c r="F154" s="70"/>
      <c r="G154" s="70"/>
      <c r="H154" s="133"/>
      <c r="I154" s="80"/>
      <c r="J154" s="81"/>
      <c r="K154" s="70"/>
      <c r="L154" s="133"/>
      <c r="M154" s="70"/>
    </row>
    <row r="155" spans="3:13" ht="15.75" customHeight="1">
      <c r="C155" s="68"/>
      <c r="D155" s="68"/>
      <c r="E155" s="68"/>
      <c r="F155" s="70"/>
      <c r="G155" s="70"/>
      <c r="H155" s="133"/>
      <c r="I155" s="80"/>
      <c r="J155" s="81"/>
      <c r="K155" s="70"/>
      <c r="L155" s="133"/>
      <c r="M155" s="70"/>
    </row>
    <row r="156" spans="3:13" ht="15.75" customHeight="1">
      <c r="C156" s="68"/>
      <c r="D156" s="68"/>
      <c r="E156" s="68"/>
      <c r="F156" s="70"/>
      <c r="G156" s="70"/>
      <c r="H156" s="133"/>
      <c r="I156" s="80"/>
      <c r="J156" s="81"/>
      <c r="K156" s="70"/>
      <c r="L156" s="133"/>
      <c r="M156" s="70"/>
    </row>
    <row r="157" spans="3:13" ht="15.75" customHeight="1">
      <c r="C157" s="68"/>
      <c r="D157" s="68"/>
      <c r="E157" s="68"/>
      <c r="F157" s="70"/>
      <c r="G157" s="70"/>
      <c r="H157" s="133"/>
      <c r="I157" s="80"/>
      <c r="J157" s="81"/>
      <c r="K157" s="70"/>
      <c r="L157" s="133"/>
      <c r="M157" s="70"/>
    </row>
    <row r="158" spans="3:13" ht="15.75" customHeight="1">
      <c r="C158" s="68"/>
      <c r="D158" s="68"/>
      <c r="E158" s="68"/>
      <c r="F158" s="70"/>
      <c r="G158" s="70"/>
      <c r="H158" s="133"/>
      <c r="I158" s="80"/>
      <c r="J158" s="81"/>
      <c r="K158" s="70"/>
      <c r="L158" s="133"/>
      <c r="M158" s="70"/>
    </row>
    <row r="159" spans="3:13" ht="15.75" customHeight="1">
      <c r="C159" s="68"/>
      <c r="D159" s="68"/>
      <c r="E159" s="68"/>
      <c r="F159" s="70"/>
      <c r="G159" s="70"/>
      <c r="H159" s="133"/>
      <c r="I159" s="80"/>
      <c r="J159" s="81"/>
      <c r="K159" s="70"/>
      <c r="L159" s="133"/>
      <c r="M159" s="70"/>
    </row>
    <row r="160" spans="3:13" ht="15.75" customHeight="1">
      <c r="C160" s="68"/>
      <c r="D160" s="68"/>
      <c r="E160" s="68"/>
      <c r="F160" s="70"/>
      <c r="G160" s="70"/>
      <c r="H160" s="133"/>
      <c r="I160" s="80"/>
      <c r="J160" s="81"/>
      <c r="K160" s="70"/>
      <c r="L160" s="133"/>
      <c r="M160" s="70"/>
    </row>
    <row r="161" spans="3:13" ht="15.75" customHeight="1">
      <c r="C161" s="68"/>
      <c r="D161" s="68"/>
      <c r="E161" s="68"/>
      <c r="F161" s="70"/>
      <c r="G161" s="70"/>
      <c r="H161" s="133"/>
      <c r="I161" s="80"/>
      <c r="J161" s="81"/>
      <c r="K161" s="70"/>
      <c r="L161" s="133"/>
      <c r="M161" s="70"/>
    </row>
    <row r="162" spans="3:13" ht="15.75" customHeight="1">
      <c r="C162" s="68"/>
      <c r="D162" s="68"/>
      <c r="E162" s="68"/>
      <c r="F162" s="70"/>
      <c r="G162" s="70"/>
      <c r="H162" s="133"/>
      <c r="I162" s="80"/>
      <c r="J162" s="81"/>
      <c r="K162" s="70"/>
      <c r="L162" s="133"/>
      <c r="M162" s="70"/>
    </row>
    <row r="163" spans="3:13" ht="15.75" customHeight="1">
      <c r="C163" s="68"/>
      <c r="D163" s="68"/>
      <c r="E163" s="68"/>
      <c r="F163" s="70"/>
      <c r="G163" s="70"/>
      <c r="H163" s="133"/>
      <c r="I163" s="80"/>
      <c r="J163" s="81"/>
      <c r="K163" s="70"/>
      <c r="L163" s="133"/>
      <c r="M163" s="70"/>
    </row>
    <row r="164" spans="3:13" ht="15.75" customHeight="1">
      <c r="C164" s="68"/>
      <c r="D164" s="68"/>
      <c r="E164" s="68"/>
      <c r="F164" s="70"/>
      <c r="G164" s="70"/>
      <c r="H164" s="133"/>
      <c r="I164" s="80"/>
      <c r="J164" s="81"/>
      <c r="K164" s="70"/>
      <c r="L164" s="133"/>
      <c r="M164" s="70"/>
    </row>
    <row r="165" spans="3:13" ht="15.75" customHeight="1">
      <c r="C165" s="68"/>
      <c r="D165" s="68"/>
      <c r="E165" s="68"/>
      <c r="F165" s="70"/>
      <c r="G165" s="70"/>
      <c r="H165" s="133"/>
      <c r="I165" s="80"/>
      <c r="J165" s="81"/>
      <c r="K165" s="70"/>
      <c r="L165" s="133"/>
      <c r="M165" s="70"/>
    </row>
    <row r="166" spans="3:13" ht="15.75" customHeight="1">
      <c r="C166" s="68"/>
      <c r="D166" s="68"/>
      <c r="E166" s="68"/>
      <c r="F166" s="70"/>
      <c r="G166" s="70"/>
      <c r="H166" s="133"/>
      <c r="I166" s="80"/>
      <c r="J166" s="81"/>
      <c r="K166" s="70"/>
      <c r="L166" s="133"/>
      <c r="M166" s="70"/>
    </row>
    <row r="167" spans="3:13" ht="15.75" customHeight="1">
      <c r="C167" s="68"/>
      <c r="D167" s="68"/>
      <c r="E167" s="68"/>
      <c r="F167" s="70"/>
      <c r="G167" s="70"/>
      <c r="H167" s="133"/>
      <c r="I167" s="80"/>
      <c r="J167" s="81"/>
      <c r="K167" s="70"/>
      <c r="L167" s="133"/>
      <c r="M167" s="70"/>
    </row>
    <row r="168" spans="3:13" ht="15.75" customHeight="1">
      <c r="C168" s="68"/>
      <c r="D168" s="68"/>
      <c r="E168" s="68"/>
      <c r="F168" s="70"/>
      <c r="G168" s="70"/>
      <c r="H168" s="133"/>
      <c r="I168" s="80"/>
      <c r="J168" s="81"/>
      <c r="K168" s="70"/>
      <c r="L168" s="133"/>
      <c r="M168" s="70"/>
    </row>
    <row r="169" spans="3:13" ht="15.75" customHeight="1">
      <c r="C169" s="68"/>
      <c r="D169" s="68"/>
      <c r="E169" s="68"/>
      <c r="F169" s="70"/>
      <c r="G169" s="70"/>
      <c r="H169" s="133"/>
      <c r="I169" s="80"/>
      <c r="J169" s="81"/>
      <c r="K169" s="70"/>
      <c r="L169" s="133"/>
      <c r="M169" s="70"/>
    </row>
    <row r="170" spans="3:13" ht="15.75" customHeight="1">
      <c r="C170" s="68"/>
      <c r="D170" s="68"/>
      <c r="E170" s="68"/>
      <c r="F170" s="70"/>
      <c r="G170" s="70"/>
      <c r="H170" s="133"/>
      <c r="I170" s="80"/>
      <c r="J170" s="81"/>
      <c r="K170" s="70"/>
      <c r="L170" s="133"/>
      <c r="M170" s="70"/>
    </row>
    <row r="171" spans="3:13" ht="15.75" customHeight="1">
      <c r="C171" s="68"/>
      <c r="D171" s="68"/>
      <c r="E171" s="68"/>
      <c r="F171" s="70"/>
      <c r="G171" s="70"/>
      <c r="H171" s="133"/>
      <c r="I171" s="80"/>
      <c r="J171" s="81"/>
      <c r="K171" s="70"/>
      <c r="L171" s="133"/>
      <c r="M171" s="70"/>
    </row>
    <row r="172" spans="3:13" ht="15.75" customHeight="1">
      <c r="C172" s="68"/>
      <c r="D172" s="68"/>
      <c r="E172" s="68"/>
      <c r="F172" s="70"/>
      <c r="G172" s="70"/>
      <c r="H172" s="133"/>
      <c r="I172" s="80"/>
      <c r="J172" s="81"/>
      <c r="K172" s="70"/>
      <c r="L172" s="133"/>
      <c r="M172" s="70"/>
    </row>
    <row r="173" spans="3:13" ht="15.75" customHeight="1">
      <c r="C173" s="68"/>
      <c r="D173" s="68"/>
      <c r="E173" s="68"/>
      <c r="F173" s="70"/>
      <c r="G173" s="70"/>
      <c r="H173" s="133"/>
      <c r="I173" s="80"/>
      <c r="J173" s="81"/>
      <c r="K173" s="70"/>
      <c r="L173" s="133"/>
      <c r="M173" s="70"/>
    </row>
    <row r="174" spans="3:13" ht="15.75" customHeight="1">
      <c r="C174" s="68"/>
      <c r="D174" s="68"/>
      <c r="E174" s="68"/>
      <c r="F174" s="70"/>
      <c r="G174" s="70"/>
      <c r="H174" s="133"/>
      <c r="I174" s="80"/>
      <c r="J174" s="81"/>
      <c r="K174" s="70"/>
      <c r="L174" s="133"/>
      <c r="M174" s="70"/>
    </row>
    <row r="175" spans="3:13" ht="15.75" customHeight="1">
      <c r="C175" s="68"/>
      <c r="D175" s="68"/>
      <c r="E175" s="68"/>
      <c r="F175" s="70"/>
      <c r="G175" s="70"/>
      <c r="H175" s="133"/>
      <c r="I175" s="80"/>
      <c r="J175" s="81"/>
      <c r="K175" s="70"/>
      <c r="L175" s="133"/>
      <c r="M175" s="70"/>
    </row>
    <row r="176" spans="3:13" ht="15.75" customHeight="1">
      <c r="C176" s="68"/>
      <c r="D176" s="68"/>
      <c r="E176" s="68"/>
      <c r="F176" s="70"/>
      <c r="G176" s="70"/>
      <c r="H176" s="133"/>
      <c r="I176" s="80"/>
      <c r="J176" s="81"/>
      <c r="K176" s="70"/>
      <c r="L176" s="133"/>
      <c r="M176" s="70"/>
    </row>
    <row r="177" spans="3:13" ht="15.75" customHeight="1">
      <c r="C177" s="68"/>
      <c r="D177" s="68"/>
      <c r="E177" s="68"/>
      <c r="F177" s="70"/>
      <c r="G177" s="70"/>
      <c r="H177" s="133"/>
      <c r="I177" s="80"/>
      <c r="J177" s="81"/>
      <c r="K177" s="70"/>
      <c r="L177" s="133"/>
      <c r="M177" s="70"/>
    </row>
    <row r="178" spans="3:13" ht="15.75" customHeight="1">
      <c r="C178" s="68"/>
      <c r="D178" s="68"/>
      <c r="E178" s="68"/>
      <c r="F178" s="70"/>
      <c r="G178" s="70"/>
      <c r="H178" s="133"/>
      <c r="I178" s="80"/>
      <c r="J178" s="81"/>
      <c r="K178" s="70"/>
      <c r="L178" s="133"/>
      <c r="M178" s="70"/>
    </row>
    <row r="179" spans="3:13" ht="15.75" customHeight="1">
      <c r="C179" s="68"/>
      <c r="D179" s="68"/>
      <c r="E179" s="68"/>
      <c r="F179" s="70"/>
      <c r="G179" s="70"/>
      <c r="H179" s="133"/>
      <c r="I179" s="80"/>
      <c r="J179" s="81"/>
      <c r="K179" s="70"/>
      <c r="L179" s="133"/>
      <c r="M179" s="70"/>
    </row>
    <row r="180" spans="3:13" ht="15.75" customHeight="1">
      <c r="C180" s="68"/>
      <c r="D180" s="68"/>
      <c r="E180" s="68"/>
      <c r="F180" s="70"/>
      <c r="G180" s="70"/>
      <c r="H180" s="133"/>
      <c r="I180" s="80"/>
      <c r="J180" s="81"/>
      <c r="K180" s="70"/>
      <c r="L180" s="133"/>
      <c r="M180" s="70"/>
    </row>
    <row r="181" spans="3:13" ht="15.75" customHeight="1">
      <c r="C181" s="68"/>
      <c r="D181" s="68"/>
      <c r="E181" s="68"/>
      <c r="F181" s="70"/>
      <c r="G181" s="70"/>
      <c r="H181" s="133"/>
      <c r="I181" s="80"/>
      <c r="J181" s="81"/>
      <c r="K181" s="70"/>
      <c r="L181" s="133"/>
      <c r="M181" s="70"/>
    </row>
    <row r="182" spans="3:13" ht="15.75" customHeight="1">
      <c r="C182" s="68"/>
      <c r="D182" s="68"/>
      <c r="E182" s="68"/>
      <c r="F182" s="70"/>
      <c r="G182" s="70"/>
      <c r="H182" s="133"/>
      <c r="I182" s="80"/>
      <c r="J182" s="81"/>
      <c r="K182" s="70"/>
      <c r="L182" s="133"/>
      <c r="M182" s="70"/>
    </row>
    <row r="183" spans="3:13" ht="15.75" customHeight="1">
      <c r="C183" s="68"/>
      <c r="D183" s="68"/>
      <c r="E183" s="68"/>
      <c r="F183" s="70"/>
      <c r="G183" s="70"/>
      <c r="H183" s="133"/>
      <c r="I183" s="80"/>
      <c r="J183" s="81"/>
      <c r="K183" s="70"/>
      <c r="L183" s="133"/>
      <c r="M183" s="70"/>
    </row>
    <row r="184" spans="3:13" ht="15.75" customHeight="1">
      <c r="C184" s="68"/>
      <c r="D184" s="68"/>
      <c r="E184" s="68"/>
      <c r="F184" s="70"/>
      <c r="G184" s="70"/>
      <c r="H184" s="133"/>
      <c r="I184" s="80"/>
      <c r="J184" s="81"/>
      <c r="K184" s="70"/>
      <c r="L184" s="133"/>
      <c r="M184" s="70"/>
    </row>
    <row r="185" spans="3:13" ht="15.75" customHeight="1">
      <c r="C185" s="68"/>
      <c r="D185" s="68"/>
      <c r="E185" s="68"/>
      <c r="F185" s="70"/>
      <c r="G185" s="70"/>
      <c r="H185" s="133"/>
      <c r="I185" s="80"/>
      <c r="J185" s="81"/>
      <c r="K185" s="70"/>
      <c r="L185" s="133"/>
      <c r="M185" s="70"/>
    </row>
    <row r="186" spans="3:13" ht="15.75" customHeight="1">
      <c r="C186" s="68"/>
      <c r="D186" s="68"/>
      <c r="E186" s="68"/>
      <c r="F186" s="70"/>
      <c r="G186" s="70"/>
      <c r="H186" s="133"/>
      <c r="I186" s="80"/>
      <c r="J186" s="81"/>
      <c r="K186" s="70"/>
      <c r="L186" s="133"/>
      <c r="M186" s="70"/>
    </row>
    <row r="187" spans="3:13" ht="15.75" customHeight="1">
      <c r="C187" s="68"/>
      <c r="D187" s="68"/>
      <c r="E187" s="68"/>
      <c r="F187" s="70"/>
      <c r="G187" s="70"/>
      <c r="H187" s="133"/>
      <c r="I187" s="80"/>
      <c r="J187" s="81"/>
      <c r="K187" s="70"/>
      <c r="L187" s="133"/>
      <c r="M187" s="70"/>
    </row>
    <row r="188" spans="3:13" ht="15.75" customHeight="1">
      <c r="C188" s="68"/>
      <c r="D188" s="68"/>
      <c r="E188" s="68"/>
      <c r="F188" s="70"/>
      <c r="G188" s="70"/>
      <c r="H188" s="133"/>
      <c r="I188" s="80"/>
      <c r="J188" s="81"/>
      <c r="K188" s="70"/>
      <c r="L188" s="133"/>
      <c r="M188" s="70"/>
    </row>
    <row r="189" spans="3:13" ht="15.75" customHeight="1">
      <c r="C189" s="68"/>
      <c r="D189" s="68"/>
      <c r="E189" s="68"/>
      <c r="F189" s="70"/>
      <c r="G189" s="70"/>
      <c r="H189" s="133"/>
      <c r="I189" s="80"/>
      <c r="J189" s="81"/>
      <c r="K189" s="70"/>
      <c r="L189" s="133"/>
      <c r="M189" s="70"/>
    </row>
    <row r="190" spans="3:13" ht="15.75" customHeight="1">
      <c r="C190" s="68"/>
      <c r="D190" s="68"/>
      <c r="E190" s="68"/>
      <c r="F190" s="70"/>
      <c r="G190" s="70"/>
      <c r="H190" s="133"/>
      <c r="I190" s="80"/>
      <c r="J190" s="81"/>
      <c r="K190" s="70"/>
      <c r="L190" s="133"/>
      <c r="M190" s="70"/>
    </row>
    <row r="191" spans="3:13" ht="15.75" customHeight="1">
      <c r="C191" s="68"/>
      <c r="D191" s="68"/>
      <c r="E191" s="68"/>
      <c r="F191" s="70"/>
      <c r="G191" s="70"/>
      <c r="H191" s="133"/>
      <c r="I191" s="80"/>
      <c r="J191" s="81"/>
      <c r="K191" s="70"/>
      <c r="L191" s="133"/>
      <c r="M191" s="70"/>
    </row>
    <row r="192" spans="3:13" ht="15.75" customHeight="1">
      <c r="C192" s="68"/>
      <c r="D192" s="68"/>
      <c r="E192" s="68"/>
      <c r="F192" s="70"/>
      <c r="G192" s="70"/>
      <c r="H192" s="133"/>
      <c r="I192" s="80"/>
      <c r="J192" s="81"/>
      <c r="K192" s="70"/>
      <c r="L192" s="133"/>
      <c r="M192" s="70"/>
    </row>
    <row r="193" spans="3:13" ht="15.75" customHeight="1">
      <c r="C193" s="68"/>
      <c r="D193" s="68"/>
      <c r="E193" s="68"/>
      <c r="F193" s="70"/>
      <c r="G193" s="70"/>
      <c r="H193" s="133"/>
      <c r="I193" s="80"/>
      <c r="J193" s="81"/>
      <c r="K193" s="70"/>
      <c r="L193" s="133"/>
      <c r="M193" s="70"/>
    </row>
    <row r="194" spans="3:13" ht="15.75" customHeight="1">
      <c r="C194" s="68"/>
      <c r="D194" s="68"/>
      <c r="E194" s="68"/>
      <c r="F194" s="70"/>
      <c r="G194" s="70"/>
      <c r="H194" s="133"/>
      <c r="I194" s="80"/>
      <c r="J194" s="81"/>
      <c r="K194" s="70"/>
      <c r="L194" s="133"/>
      <c r="M194" s="70"/>
    </row>
    <row r="195" spans="3:13" ht="15.75" customHeight="1">
      <c r="C195" s="68"/>
      <c r="D195" s="68"/>
      <c r="E195" s="68"/>
      <c r="F195" s="70"/>
      <c r="G195" s="70"/>
      <c r="H195" s="133"/>
      <c r="I195" s="80"/>
      <c r="J195" s="81"/>
      <c r="K195" s="70"/>
      <c r="L195" s="133"/>
      <c r="M195" s="70"/>
    </row>
    <row r="196" spans="3:13" ht="15.75" customHeight="1">
      <c r="C196" s="68"/>
      <c r="D196" s="68"/>
      <c r="E196" s="68"/>
      <c r="F196" s="70"/>
      <c r="G196" s="70"/>
      <c r="H196" s="133"/>
      <c r="I196" s="80"/>
      <c r="J196" s="81"/>
      <c r="K196" s="70"/>
      <c r="L196" s="133"/>
      <c r="M196" s="70"/>
    </row>
    <row r="197" spans="3:13" ht="15.75" customHeight="1">
      <c r="C197" s="68"/>
      <c r="D197" s="68"/>
      <c r="E197" s="68"/>
      <c r="F197" s="70"/>
      <c r="G197" s="70"/>
      <c r="H197" s="133"/>
      <c r="I197" s="80"/>
      <c r="J197" s="81"/>
      <c r="K197" s="70"/>
      <c r="L197" s="133"/>
      <c r="M197" s="70"/>
    </row>
    <row r="198" spans="3:13" ht="15.75" customHeight="1">
      <c r="C198" s="68"/>
      <c r="D198" s="68"/>
      <c r="E198" s="68"/>
      <c r="F198" s="70"/>
      <c r="G198" s="70"/>
      <c r="H198" s="133"/>
      <c r="I198" s="80"/>
      <c r="J198" s="81"/>
      <c r="K198" s="70"/>
      <c r="L198" s="133"/>
      <c r="M198" s="70"/>
    </row>
    <row r="199" spans="3:13" ht="15.75" customHeight="1">
      <c r="C199" s="68"/>
      <c r="D199" s="68"/>
      <c r="E199" s="68"/>
      <c r="F199" s="70"/>
      <c r="G199" s="70"/>
      <c r="H199" s="133"/>
      <c r="I199" s="80"/>
      <c r="J199" s="81"/>
      <c r="K199" s="70"/>
      <c r="L199" s="133"/>
      <c r="M199" s="70"/>
    </row>
    <row r="200" spans="3:13" ht="15.75" customHeight="1">
      <c r="C200" s="68"/>
      <c r="D200" s="68"/>
      <c r="E200" s="68"/>
      <c r="F200" s="70"/>
      <c r="G200" s="70"/>
      <c r="H200" s="133"/>
      <c r="I200" s="80"/>
      <c r="J200" s="81"/>
      <c r="K200" s="70"/>
      <c r="L200" s="133"/>
      <c r="M200" s="70"/>
    </row>
    <row r="201" spans="3:13" ht="15.75" customHeight="1">
      <c r="C201" s="68"/>
      <c r="D201" s="68"/>
      <c r="E201" s="68"/>
      <c r="F201" s="70"/>
      <c r="G201" s="70"/>
      <c r="H201" s="133"/>
      <c r="I201" s="80"/>
      <c r="J201" s="81"/>
      <c r="K201" s="70"/>
      <c r="L201" s="133"/>
      <c r="M201" s="70"/>
    </row>
    <row r="202" spans="3:13" ht="15.75" customHeight="1">
      <c r="C202" s="68"/>
      <c r="D202" s="68"/>
      <c r="E202" s="68"/>
      <c r="F202" s="70"/>
      <c r="G202" s="70"/>
      <c r="H202" s="133"/>
      <c r="I202" s="80"/>
      <c r="J202" s="81"/>
      <c r="K202" s="70"/>
      <c r="L202" s="133"/>
      <c r="M202" s="70"/>
    </row>
    <row r="203" spans="3:13" ht="15.75" customHeight="1">
      <c r="C203" s="68"/>
      <c r="D203" s="68"/>
      <c r="E203" s="68"/>
      <c r="F203" s="70"/>
      <c r="G203" s="70"/>
      <c r="H203" s="133"/>
      <c r="I203" s="80"/>
      <c r="J203" s="81"/>
      <c r="K203" s="70"/>
      <c r="L203" s="133"/>
      <c r="M203" s="70"/>
    </row>
    <row r="204" spans="3:13" ht="15.75" customHeight="1">
      <c r="C204" s="68"/>
      <c r="D204" s="68"/>
      <c r="E204" s="68"/>
      <c r="F204" s="70"/>
      <c r="G204" s="70"/>
      <c r="H204" s="133"/>
      <c r="I204" s="80"/>
      <c r="J204" s="81"/>
      <c r="K204" s="70"/>
      <c r="L204" s="133"/>
      <c r="M204" s="70"/>
    </row>
    <row r="205" spans="3:13" ht="15.75" customHeight="1">
      <c r="C205" s="68"/>
      <c r="D205" s="68"/>
      <c r="E205" s="68"/>
      <c r="F205" s="70"/>
      <c r="G205" s="70"/>
      <c r="H205" s="133"/>
      <c r="I205" s="80"/>
      <c r="J205" s="81"/>
      <c r="K205" s="70"/>
      <c r="L205" s="133"/>
      <c r="M205" s="70"/>
    </row>
    <row r="206" spans="3:13" ht="15.75" customHeight="1">
      <c r="C206" s="68"/>
      <c r="D206" s="68"/>
      <c r="E206" s="68"/>
      <c r="F206" s="70"/>
      <c r="G206" s="70"/>
      <c r="H206" s="133"/>
      <c r="I206" s="80"/>
      <c r="J206" s="81"/>
      <c r="K206" s="70"/>
      <c r="L206" s="133"/>
      <c r="M206" s="70"/>
    </row>
    <row r="207" spans="3:13" ht="15.75" customHeight="1">
      <c r="C207" s="68"/>
      <c r="D207" s="68"/>
      <c r="E207" s="68"/>
      <c r="F207" s="70"/>
      <c r="G207" s="70"/>
      <c r="H207" s="133"/>
      <c r="I207" s="80"/>
      <c r="J207" s="81"/>
      <c r="K207" s="70"/>
      <c r="L207" s="133"/>
      <c r="M207" s="70"/>
    </row>
    <row r="208" spans="3:13" ht="15.75" customHeight="1">
      <c r="C208" s="68"/>
      <c r="D208" s="68"/>
      <c r="E208" s="68"/>
      <c r="F208" s="70"/>
      <c r="G208" s="70"/>
      <c r="H208" s="133"/>
      <c r="I208" s="80"/>
      <c r="J208" s="81"/>
      <c r="K208" s="70"/>
      <c r="L208" s="133"/>
      <c r="M208" s="70"/>
    </row>
    <row r="209" spans="3:13" ht="15.75" customHeight="1">
      <c r="C209" s="68"/>
      <c r="D209" s="68"/>
      <c r="E209" s="68"/>
      <c r="F209" s="70"/>
      <c r="G209" s="70"/>
      <c r="H209" s="133"/>
      <c r="I209" s="80"/>
      <c r="J209" s="81"/>
      <c r="K209" s="70"/>
      <c r="L209" s="133"/>
      <c r="M209" s="70"/>
    </row>
    <row r="210" spans="3:13" ht="15.75" customHeight="1">
      <c r="C210" s="68"/>
      <c r="D210" s="68"/>
      <c r="E210" s="68"/>
      <c r="F210" s="70"/>
      <c r="G210" s="70"/>
      <c r="H210" s="133"/>
      <c r="I210" s="80"/>
      <c r="J210" s="81"/>
      <c r="K210" s="70"/>
      <c r="L210" s="133"/>
      <c r="M210" s="70"/>
    </row>
    <row r="211" spans="3:13" ht="15.75" customHeight="1">
      <c r="C211" s="68"/>
      <c r="D211" s="68"/>
      <c r="E211" s="68"/>
      <c r="F211" s="70"/>
      <c r="G211" s="70"/>
      <c r="H211" s="133"/>
      <c r="I211" s="80"/>
      <c r="J211" s="81"/>
      <c r="K211" s="70"/>
      <c r="L211" s="133"/>
      <c r="M211" s="70"/>
    </row>
    <row r="212" spans="3:13" ht="15.75" customHeight="1">
      <c r="C212" s="68"/>
      <c r="D212" s="68"/>
      <c r="E212" s="68"/>
      <c r="F212" s="70"/>
      <c r="G212" s="70"/>
      <c r="H212" s="133"/>
      <c r="I212" s="80"/>
      <c r="J212" s="81"/>
      <c r="K212" s="70"/>
      <c r="L212" s="133"/>
      <c r="M212" s="70"/>
    </row>
    <row r="213" spans="3:13" ht="15.75" customHeight="1">
      <c r="C213" s="68"/>
      <c r="D213" s="68"/>
      <c r="E213" s="68"/>
      <c r="F213" s="70"/>
      <c r="G213" s="70"/>
      <c r="H213" s="133"/>
      <c r="I213" s="80"/>
      <c r="J213" s="81"/>
      <c r="K213" s="70"/>
      <c r="L213" s="133"/>
      <c r="M213" s="70"/>
    </row>
    <row r="214" spans="3:13" ht="15.75" customHeight="1">
      <c r="C214" s="68"/>
      <c r="D214" s="68"/>
      <c r="E214" s="68"/>
      <c r="F214" s="70"/>
      <c r="G214" s="70"/>
      <c r="H214" s="133"/>
      <c r="I214" s="80"/>
      <c r="J214" s="81"/>
      <c r="K214" s="70"/>
      <c r="L214" s="133"/>
      <c r="M214" s="70"/>
    </row>
    <row r="215" spans="3:13" ht="15.75" customHeight="1">
      <c r="C215" s="68"/>
      <c r="D215" s="68"/>
      <c r="E215" s="68"/>
      <c r="F215" s="70"/>
      <c r="G215" s="70"/>
      <c r="H215" s="133"/>
      <c r="I215" s="80"/>
      <c r="J215" s="81"/>
      <c r="K215" s="70"/>
      <c r="L215" s="133"/>
      <c r="M215" s="70"/>
    </row>
    <row r="216" spans="3:13" ht="15.75" customHeight="1">
      <c r="C216" s="68"/>
      <c r="D216" s="68"/>
      <c r="E216" s="68"/>
      <c r="F216" s="70"/>
      <c r="G216" s="70"/>
      <c r="H216" s="133"/>
      <c r="I216" s="80"/>
      <c r="J216" s="81"/>
      <c r="K216" s="70"/>
      <c r="L216" s="133"/>
      <c r="M216" s="70"/>
    </row>
    <row r="217" spans="3:13" ht="15.75" customHeight="1">
      <c r="C217" s="68"/>
      <c r="D217" s="68"/>
      <c r="E217" s="68"/>
      <c r="F217" s="70"/>
      <c r="G217" s="70"/>
      <c r="H217" s="133"/>
      <c r="I217" s="80"/>
      <c r="J217" s="81"/>
      <c r="K217" s="70"/>
      <c r="L217" s="133"/>
      <c r="M217" s="70"/>
    </row>
    <row r="218" spans="3:13" ht="15.75" customHeight="1">
      <c r="C218" s="68"/>
      <c r="D218" s="68"/>
      <c r="E218" s="68"/>
      <c r="F218" s="70"/>
      <c r="G218" s="70"/>
      <c r="H218" s="133"/>
      <c r="I218" s="80"/>
      <c r="J218" s="81"/>
      <c r="K218" s="70"/>
      <c r="L218" s="133"/>
      <c r="M218" s="70"/>
    </row>
    <row r="219" spans="3:13" ht="15.75" customHeight="1">
      <c r="C219" s="68"/>
      <c r="D219" s="68"/>
      <c r="E219" s="68"/>
      <c r="F219" s="70"/>
      <c r="G219" s="70"/>
      <c r="H219" s="133"/>
      <c r="I219" s="80"/>
      <c r="J219" s="81"/>
      <c r="K219" s="70"/>
      <c r="L219" s="133"/>
      <c r="M219" s="70"/>
    </row>
    <row r="220" spans="3:13" ht="15.75" customHeight="1">
      <c r="C220" s="68"/>
      <c r="D220" s="68"/>
      <c r="E220" s="68"/>
      <c r="F220" s="70"/>
      <c r="G220" s="70"/>
      <c r="H220" s="133"/>
      <c r="I220" s="80"/>
      <c r="J220" s="81"/>
      <c r="K220" s="70"/>
      <c r="L220" s="133"/>
      <c r="M220" s="70"/>
    </row>
    <row r="221" spans="3:13" ht="15.75" customHeight="1">
      <c r="C221" s="68"/>
      <c r="D221" s="68"/>
      <c r="E221" s="68"/>
      <c r="F221" s="70"/>
      <c r="G221" s="70"/>
      <c r="H221" s="133"/>
      <c r="I221" s="80"/>
      <c r="J221" s="81"/>
      <c r="K221" s="70"/>
      <c r="L221" s="133"/>
      <c r="M221" s="70"/>
    </row>
    <row r="222" spans="3:13" ht="15.75" customHeight="1">
      <c r="C222" s="68"/>
      <c r="D222" s="68"/>
      <c r="E222" s="68"/>
      <c r="F222" s="70"/>
      <c r="G222" s="70"/>
      <c r="H222" s="133"/>
      <c r="I222" s="80"/>
      <c r="J222" s="81"/>
      <c r="K222" s="70"/>
      <c r="L222" s="133"/>
      <c r="M222" s="70"/>
    </row>
    <row r="223" spans="3:13" ht="15.75" customHeight="1"/>
    <row r="224" spans="3:13" ht="15.75" customHeight="1"/>
    <row r="225" ht="15.75" customHeight="1"/>
  </sheetData>
  <sortState xmlns:xlrd2="http://schemas.microsoft.com/office/spreadsheetml/2017/richdata2" ref="C11:M36">
    <sortCondition descending="1" ref="J11:J36"/>
  </sortState>
  <mergeCells count="1">
    <mergeCell ref="B2:N3"/>
  </mergeCells>
  <phoneticPr fontId="2" type="noConversion"/>
  <conditionalFormatting sqref="E12:E23">
    <cfRule type="duplicateValues" dxfId="1" priority="28"/>
    <cfRule type="duplicateValues" dxfId="0" priority="29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56689-00BE-4162-A997-217DF57D6EB8}">
  <sheetPr codeName="Sheet16">
    <tabColor theme="4"/>
  </sheetPr>
  <dimension ref="A1:P861"/>
  <sheetViews>
    <sheetView zoomScale="85" zoomScaleNormal="85" workbookViewId="0"/>
  </sheetViews>
  <sheetFormatPr defaultRowHeight="16.5"/>
  <cols>
    <col min="1" max="1" width="11.625" customWidth="1"/>
    <col min="5" max="7" width="9" style="146"/>
    <col min="8" max="8" width="10.875" style="146" customWidth="1"/>
    <col min="9" max="9" width="9" style="146"/>
  </cols>
  <sheetData>
    <row r="1" spans="1:16">
      <c r="A1" s="141" t="s">
        <v>48</v>
      </c>
      <c r="B1" s="48" t="s">
        <v>67</v>
      </c>
      <c r="C1" s="142" t="s">
        <v>20</v>
      </c>
      <c r="D1" s="143" t="s">
        <v>46</v>
      </c>
      <c r="E1" s="36" t="s">
        <v>1</v>
      </c>
      <c r="F1" s="36" t="s">
        <v>3</v>
      </c>
      <c r="G1" s="36" t="s">
        <v>49</v>
      </c>
      <c r="H1" s="144" t="s">
        <v>375</v>
      </c>
      <c r="I1" s="36" t="s">
        <v>50</v>
      </c>
      <c r="J1" s="36" t="s">
        <v>47</v>
      </c>
      <c r="K1" s="140" t="s">
        <v>67</v>
      </c>
      <c r="O1" s="48" t="s">
        <v>67</v>
      </c>
      <c r="P1" t="s">
        <v>371</v>
      </c>
    </row>
    <row r="2" spans="1:16">
      <c r="A2" s="134"/>
      <c r="E2"/>
      <c r="F2"/>
      <c r="G2"/>
      <c r="H2" s="135">
        <f>G2*1.1</f>
        <v>0</v>
      </c>
      <c r="I2" s="135"/>
      <c r="J2" s="37"/>
      <c r="K2" t="e">
        <f t="shared" ref="K2:K65" si="0">VLOOKUP($B2,$O$1:$P$4,2,0)</f>
        <v>#N/A</v>
      </c>
      <c r="O2" t="s">
        <v>372</v>
      </c>
      <c r="P2" t="s">
        <v>63</v>
      </c>
    </row>
    <row r="3" spans="1:16">
      <c r="A3" s="134"/>
      <c r="E3"/>
      <c r="F3"/>
      <c r="G3"/>
      <c r="H3" s="135">
        <f t="shared" ref="H3:H7" si="1">G3*1.1</f>
        <v>0</v>
      </c>
      <c r="I3" s="135"/>
      <c r="J3" s="37"/>
      <c r="K3" t="e">
        <f t="shared" si="0"/>
        <v>#N/A</v>
      </c>
      <c r="O3" t="s">
        <v>373</v>
      </c>
      <c r="P3" t="s">
        <v>65</v>
      </c>
    </row>
    <row r="4" spans="1:16">
      <c r="A4" s="134"/>
      <c r="E4"/>
      <c r="F4"/>
      <c r="G4"/>
      <c r="H4" s="135">
        <f t="shared" si="1"/>
        <v>0</v>
      </c>
      <c r="I4" s="135"/>
      <c r="J4" s="37"/>
      <c r="K4" t="e">
        <f t="shared" si="0"/>
        <v>#N/A</v>
      </c>
      <c r="O4" t="s">
        <v>374</v>
      </c>
      <c r="P4" t="s">
        <v>65</v>
      </c>
    </row>
    <row r="5" spans="1:16">
      <c r="A5" s="134"/>
      <c r="E5"/>
      <c r="F5"/>
      <c r="G5"/>
      <c r="H5" s="135">
        <f t="shared" si="1"/>
        <v>0</v>
      </c>
      <c r="I5" s="135"/>
      <c r="J5" s="37"/>
      <c r="K5" t="e">
        <f t="shared" si="0"/>
        <v>#N/A</v>
      </c>
    </row>
    <row r="6" spans="1:16">
      <c r="A6" s="134"/>
      <c r="E6"/>
      <c r="F6"/>
      <c r="G6"/>
      <c r="H6" s="135">
        <f t="shared" si="1"/>
        <v>0</v>
      </c>
      <c r="I6" s="135"/>
      <c r="J6" s="37"/>
      <c r="K6" t="e">
        <f t="shared" si="0"/>
        <v>#N/A</v>
      </c>
    </row>
    <row r="7" spans="1:16">
      <c r="A7" s="134"/>
      <c r="E7"/>
      <c r="F7"/>
      <c r="G7"/>
      <c r="H7" s="135">
        <f t="shared" si="1"/>
        <v>0</v>
      </c>
      <c r="I7" s="135"/>
      <c r="J7" s="37"/>
      <c r="K7" t="e">
        <f t="shared" si="0"/>
        <v>#N/A</v>
      </c>
    </row>
    <row r="8" spans="1:16">
      <c r="A8" s="134"/>
      <c r="E8"/>
      <c r="F8"/>
      <c r="G8"/>
      <c r="H8" s="135">
        <f t="shared" ref="H8:H45" si="2">G8*1.1</f>
        <v>0</v>
      </c>
      <c r="I8" s="135"/>
      <c r="J8" s="37"/>
      <c r="K8" t="e">
        <f t="shared" si="0"/>
        <v>#N/A</v>
      </c>
    </row>
    <row r="9" spans="1:16">
      <c r="A9" s="134"/>
      <c r="E9"/>
      <c r="F9"/>
      <c r="G9"/>
      <c r="H9" s="135">
        <f t="shared" si="2"/>
        <v>0</v>
      </c>
      <c r="I9" s="135"/>
      <c r="J9" s="37"/>
      <c r="K9" t="e">
        <f t="shared" si="0"/>
        <v>#N/A</v>
      </c>
    </row>
    <row r="10" spans="1:16">
      <c r="A10" s="134"/>
      <c r="E10"/>
      <c r="F10"/>
      <c r="G10"/>
      <c r="H10" s="135">
        <f t="shared" si="2"/>
        <v>0</v>
      </c>
      <c r="I10" s="135"/>
      <c r="J10" s="37"/>
      <c r="K10" t="e">
        <f t="shared" si="0"/>
        <v>#N/A</v>
      </c>
    </row>
    <row r="11" spans="1:16">
      <c r="A11" s="134"/>
      <c r="E11"/>
      <c r="F11"/>
      <c r="G11"/>
      <c r="H11" s="135">
        <f t="shared" si="2"/>
        <v>0</v>
      </c>
      <c r="I11" s="135"/>
      <c r="J11" s="37"/>
      <c r="K11" t="e">
        <f t="shared" si="0"/>
        <v>#N/A</v>
      </c>
    </row>
    <row r="12" spans="1:16">
      <c r="A12" s="134"/>
      <c r="E12"/>
      <c r="F12"/>
      <c r="G12"/>
      <c r="H12" s="135">
        <f t="shared" si="2"/>
        <v>0</v>
      </c>
      <c r="I12" s="135"/>
      <c r="J12" s="37"/>
      <c r="K12" t="e">
        <f t="shared" si="0"/>
        <v>#N/A</v>
      </c>
    </row>
    <row r="13" spans="1:16">
      <c r="A13" s="134"/>
      <c r="E13"/>
      <c r="F13"/>
      <c r="G13"/>
      <c r="H13" s="135">
        <f t="shared" si="2"/>
        <v>0</v>
      </c>
      <c r="I13" s="135"/>
      <c r="J13" s="37"/>
      <c r="K13" t="e">
        <f t="shared" si="0"/>
        <v>#N/A</v>
      </c>
    </row>
    <row r="14" spans="1:16">
      <c r="A14" s="134"/>
      <c r="E14"/>
      <c r="F14"/>
      <c r="G14"/>
      <c r="H14" s="135">
        <f t="shared" si="2"/>
        <v>0</v>
      </c>
      <c r="I14" s="135"/>
      <c r="J14" s="37"/>
      <c r="K14" t="e">
        <f t="shared" si="0"/>
        <v>#N/A</v>
      </c>
    </row>
    <row r="15" spans="1:16">
      <c r="A15" s="134"/>
      <c r="E15"/>
      <c r="F15"/>
      <c r="G15"/>
      <c r="H15" s="135">
        <f t="shared" si="2"/>
        <v>0</v>
      </c>
      <c r="I15" s="135"/>
      <c r="J15" s="37"/>
      <c r="K15" t="e">
        <f t="shared" si="0"/>
        <v>#N/A</v>
      </c>
    </row>
    <row r="16" spans="1:16">
      <c r="A16" s="134"/>
      <c r="E16"/>
      <c r="F16"/>
      <c r="G16" s="135"/>
      <c r="H16" s="135">
        <f t="shared" si="2"/>
        <v>0</v>
      </c>
      <c r="I16" s="135"/>
      <c r="J16" s="37"/>
      <c r="K16" t="e">
        <f t="shared" si="0"/>
        <v>#N/A</v>
      </c>
    </row>
    <row r="17" spans="1:11">
      <c r="A17" s="134"/>
      <c r="E17"/>
      <c r="F17"/>
      <c r="G17" s="135"/>
      <c r="H17" s="135">
        <f t="shared" si="2"/>
        <v>0</v>
      </c>
      <c r="I17" s="135"/>
      <c r="J17" s="37"/>
      <c r="K17" t="e">
        <f t="shared" si="0"/>
        <v>#N/A</v>
      </c>
    </row>
    <row r="18" spans="1:11">
      <c r="A18" s="134"/>
      <c r="E18"/>
      <c r="F18"/>
      <c r="G18" s="135"/>
      <c r="H18" s="135">
        <f t="shared" si="2"/>
        <v>0</v>
      </c>
      <c r="I18" s="135"/>
      <c r="J18" s="37"/>
      <c r="K18" t="e">
        <f t="shared" si="0"/>
        <v>#N/A</v>
      </c>
    </row>
    <row r="19" spans="1:11">
      <c r="A19" s="134"/>
      <c r="E19"/>
      <c r="F19"/>
      <c r="G19" s="135"/>
      <c r="H19" s="135">
        <f t="shared" si="2"/>
        <v>0</v>
      </c>
      <c r="I19" s="135"/>
      <c r="J19" s="37"/>
      <c r="K19" t="e">
        <f t="shared" si="0"/>
        <v>#N/A</v>
      </c>
    </row>
    <row r="20" spans="1:11">
      <c r="A20" s="134"/>
      <c r="E20"/>
      <c r="F20"/>
      <c r="G20" s="135"/>
      <c r="H20" s="135">
        <f t="shared" si="2"/>
        <v>0</v>
      </c>
      <c r="I20" s="135"/>
      <c r="J20" s="37"/>
      <c r="K20" t="e">
        <f t="shared" si="0"/>
        <v>#N/A</v>
      </c>
    </row>
    <row r="21" spans="1:11">
      <c r="A21" s="134"/>
      <c r="E21"/>
      <c r="F21"/>
      <c r="G21" s="135"/>
      <c r="H21" s="135">
        <f t="shared" si="2"/>
        <v>0</v>
      </c>
      <c r="I21" s="135"/>
      <c r="J21" s="37"/>
      <c r="K21" t="e">
        <f t="shared" si="0"/>
        <v>#N/A</v>
      </c>
    </row>
    <row r="22" spans="1:11">
      <c r="A22" s="134"/>
      <c r="E22"/>
      <c r="F22"/>
      <c r="G22" s="135"/>
      <c r="H22" s="135">
        <f t="shared" si="2"/>
        <v>0</v>
      </c>
      <c r="I22" s="135"/>
      <c r="J22" s="37"/>
      <c r="K22" t="e">
        <f t="shared" si="0"/>
        <v>#N/A</v>
      </c>
    </row>
    <row r="23" spans="1:11">
      <c r="A23" s="134"/>
      <c r="E23"/>
      <c r="F23"/>
      <c r="G23" s="135"/>
      <c r="H23" s="135">
        <f t="shared" si="2"/>
        <v>0</v>
      </c>
      <c r="I23" s="135"/>
      <c r="J23" s="37"/>
      <c r="K23" t="e">
        <f t="shared" si="0"/>
        <v>#N/A</v>
      </c>
    </row>
    <row r="24" spans="1:11">
      <c r="A24" s="134"/>
      <c r="E24"/>
      <c r="F24"/>
      <c r="G24" s="135"/>
      <c r="H24" s="135">
        <f t="shared" si="2"/>
        <v>0</v>
      </c>
      <c r="I24" s="135"/>
      <c r="J24" s="37"/>
      <c r="K24" t="e">
        <f t="shared" si="0"/>
        <v>#N/A</v>
      </c>
    </row>
    <row r="25" spans="1:11">
      <c r="A25" s="134"/>
      <c r="E25"/>
      <c r="F25"/>
      <c r="G25" s="135"/>
      <c r="H25" s="135">
        <f t="shared" si="2"/>
        <v>0</v>
      </c>
      <c r="I25" s="135"/>
      <c r="J25" s="37"/>
      <c r="K25" t="e">
        <f t="shared" si="0"/>
        <v>#N/A</v>
      </c>
    </row>
    <row r="26" spans="1:11">
      <c r="A26" s="134"/>
      <c r="E26"/>
      <c r="F26"/>
      <c r="G26"/>
      <c r="H26" s="135">
        <f t="shared" si="2"/>
        <v>0</v>
      </c>
      <c r="I26" s="135"/>
      <c r="J26" s="37"/>
      <c r="K26" t="e">
        <f t="shared" si="0"/>
        <v>#N/A</v>
      </c>
    </row>
    <row r="27" spans="1:11">
      <c r="A27" s="134"/>
      <c r="E27"/>
      <c r="F27"/>
      <c r="G27"/>
      <c r="H27" s="135">
        <f t="shared" si="2"/>
        <v>0</v>
      </c>
      <c r="I27" s="135"/>
      <c r="J27" s="37"/>
      <c r="K27" t="e">
        <f t="shared" si="0"/>
        <v>#N/A</v>
      </c>
    </row>
    <row r="28" spans="1:11">
      <c r="A28" s="134"/>
      <c r="E28"/>
      <c r="F28"/>
      <c r="G28"/>
      <c r="H28" s="135">
        <f t="shared" si="2"/>
        <v>0</v>
      </c>
      <c r="I28" s="135"/>
      <c r="J28" s="37"/>
      <c r="K28" t="e">
        <f t="shared" si="0"/>
        <v>#N/A</v>
      </c>
    </row>
    <row r="29" spans="1:11">
      <c r="A29" s="134"/>
      <c r="E29"/>
      <c r="F29"/>
      <c r="G29"/>
      <c r="H29" s="135">
        <f t="shared" si="2"/>
        <v>0</v>
      </c>
      <c r="I29" s="135"/>
      <c r="J29" s="37"/>
      <c r="K29" t="e">
        <f t="shared" si="0"/>
        <v>#N/A</v>
      </c>
    </row>
    <row r="30" spans="1:11">
      <c r="A30" s="134"/>
      <c r="E30"/>
      <c r="F30"/>
      <c r="G30"/>
      <c r="H30" s="135">
        <f t="shared" si="2"/>
        <v>0</v>
      </c>
      <c r="I30" s="135"/>
      <c r="J30" s="37"/>
      <c r="K30" t="e">
        <f t="shared" si="0"/>
        <v>#N/A</v>
      </c>
    </row>
    <row r="31" spans="1:11">
      <c r="A31" s="134"/>
      <c r="E31"/>
      <c r="F31"/>
      <c r="G31"/>
      <c r="H31" s="135">
        <f t="shared" si="2"/>
        <v>0</v>
      </c>
      <c r="I31" s="135"/>
      <c r="J31" s="37"/>
      <c r="K31" t="e">
        <f t="shared" si="0"/>
        <v>#N/A</v>
      </c>
    </row>
    <row r="32" spans="1:11">
      <c r="A32" s="134"/>
      <c r="E32"/>
      <c r="F32"/>
      <c r="G32"/>
      <c r="H32" s="135">
        <f t="shared" si="2"/>
        <v>0</v>
      </c>
      <c r="I32" s="135"/>
      <c r="J32" s="37"/>
      <c r="K32" t="e">
        <f t="shared" si="0"/>
        <v>#N/A</v>
      </c>
    </row>
    <row r="33" spans="1:11">
      <c r="A33" s="134"/>
      <c r="E33"/>
      <c r="F33"/>
      <c r="G33"/>
      <c r="H33" s="135">
        <f t="shared" si="2"/>
        <v>0</v>
      </c>
      <c r="I33" s="135"/>
      <c r="J33" s="37"/>
      <c r="K33" t="e">
        <f t="shared" si="0"/>
        <v>#N/A</v>
      </c>
    </row>
    <row r="34" spans="1:11">
      <c r="A34" s="134"/>
      <c r="E34"/>
      <c r="F34"/>
      <c r="G34"/>
      <c r="H34" s="135">
        <f t="shared" si="2"/>
        <v>0</v>
      </c>
      <c r="I34" s="135"/>
      <c r="J34" s="37"/>
      <c r="K34" t="e">
        <f t="shared" si="0"/>
        <v>#N/A</v>
      </c>
    </row>
    <row r="35" spans="1:11">
      <c r="A35" s="134"/>
      <c r="E35"/>
      <c r="F35"/>
      <c r="G35"/>
      <c r="H35" s="135">
        <f t="shared" si="2"/>
        <v>0</v>
      </c>
      <c r="I35" s="135"/>
      <c r="J35" s="37"/>
      <c r="K35" t="e">
        <f t="shared" si="0"/>
        <v>#N/A</v>
      </c>
    </row>
    <row r="36" spans="1:11">
      <c r="A36" s="134"/>
      <c r="E36"/>
      <c r="F36"/>
      <c r="G36"/>
      <c r="H36" s="135">
        <f t="shared" si="2"/>
        <v>0</v>
      </c>
      <c r="I36" s="135"/>
      <c r="J36" s="37"/>
      <c r="K36" t="e">
        <f t="shared" si="0"/>
        <v>#N/A</v>
      </c>
    </row>
    <row r="37" spans="1:11">
      <c r="A37" s="134"/>
      <c r="E37"/>
      <c r="F37"/>
      <c r="G37"/>
      <c r="H37" s="135">
        <f t="shared" si="2"/>
        <v>0</v>
      </c>
      <c r="I37" s="135"/>
      <c r="J37" s="37"/>
      <c r="K37" t="e">
        <f t="shared" si="0"/>
        <v>#N/A</v>
      </c>
    </row>
    <row r="38" spans="1:11">
      <c r="A38" s="134"/>
      <c r="E38"/>
      <c r="F38"/>
      <c r="G38"/>
      <c r="H38" s="135">
        <f t="shared" si="2"/>
        <v>0</v>
      </c>
      <c r="I38" s="135"/>
      <c r="J38" s="37"/>
      <c r="K38" t="e">
        <f t="shared" si="0"/>
        <v>#N/A</v>
      </c>
    </row>
    <row r="39" spans="1:11">
      <c r="A39" s="134"/>
      <c r="E39"/>
      <c r="F39"/>
      <c r="G39"/>
      <c r="H39" s="135">
        <f t="shared" si="2"/>
        <v>0</v>
      </c>
      <c r="I39" s="135"/>
      <c r="J39" s="37"/>
      <c r="K39" t="e">
        <f t="shared" si="0"/>
        <v>#N/A</v>
      </c>
    </row>
    <row r="40" spans="1:11">
      <c r="A40" s="134"/>
      <c r="E40"/>
      <c r="F40"/>
      <c r="G40"/>
      <c r="H40" s="135">
        <f t="shared" si="2"/>
        <v>0</v>
      </c>
      <c r="I40" s="135"/>
      <c r="J40" s="37"/>
      <c r="K40" t="e">
        <f t="shared" si="0"/>
        <v>#N/A</v>
      </c>
    </row>
    <row r="41" spans="1:11">
      <c r="A41" s="134"/>
      <c r="E41"/>
      <c r="F41"/>
      <c r="G41"/>
      <c r="H41" s="135">
        <f t="shared" si="2"/>
        <v>0</v>
      </c>
      <c r="I41" s="135"/>
      <c r="J41" s="37"/>
      <c r="K41" t="e">
        <f t="shared" si="0"/>
        <v>#N/A</v>
      </c>
    </row>
    <row r="42" spans="1:11">
      <c r="A42" s="134"/>
      <c r="E42"/>
      <c r="F42"/>
      <c r="G42"/>
      <c r="H42" s="135">
        <f t="shared" si="2"/>
        <v>0</v>
      </c>
      <c r="I42" s="135"/>
      <c r="J42" s="37"/>
      <c r="K42" t="e">
        <f t="shared" si="0"/>
        <v>#N/A</v>
      </c>
    </row>
    <row r="43" spans="1:11">
      <c r="A43" s="134"/>
      <c r="E43"/>
      <c r="F43"/>
      <c r="G43"/>
      <c r="H43" s="135">
        <f t="shared" si="2"/>
        <v>0</v>
      </c>
      <c r="I43" s="135"/>
      <c r="J43" s="37"/>
      <c r="K43" t="e">
        <f t="shared" si="0"/>
        <v>#N/A</v>
      </c>
    </row>
    <row r="44" spans="1:11">
      <c r="A44" s="134"/>
      <c r="E44"/>
      <c r="F44"/>
      <c r="G44"/>
      <c r="H44" s="135">
        <f t="shared" si="2"/>
        <v>0</v>
      </c>
      <c r="I44" s="135"/>
      <c r="J44" s="37"/>
      <c r="K44" t="e">
        <f t="shared" si="0"/>
        <v>#N/A</v>
      </c>
    </row>
    <row r="45" spans="1:11">
      <c r="A45" s="134"/>
      <c r="E45"/>
      <c r="F45"/>
      <c r="G45"/>
      <c r="H45" s="135">
        <f t="shared" si="2"/>
        <v>0</v>
      </c>
      <c r="I45" s="135"/>
      <c r="J45" s="37"/>
      <c r="K45" t="e">
        <f t="shared" si="0"/>
        <v>#N/A</v>
      </c>
    </row>
    <row r="46" spans="1:11">
      <c r="A46" s="134"/>
      <c r="E46"/>
      <c r="F46"/>
      <c r="G46"/>
      <c r="H46" s="135">
        <f t="shared" ref="H46:H71" si="3">G46*1.1</f>
        <v>0</v>
      </c>
      <c r="I46" s="135"/>
      <c r="J46" s="37"/>
      <c r="K46" t="e">
        <f t="shared" si="0"/>
        <v>#N/A</v>
      </c>
    </row>
    <row r="47" spans="1:11">
      <c r="A47" s="134"/>
      <c r="E47"/>
      <c r="F47"/>
      <c r="G47"/>
      <c r="H47" s="135">
        <f t="shared" si="3"/>
        <v>0</v>
      </c>
      <c r="I47" s="135"/>
      <c r="J47" s="37"/>
      <c r="K47" t="e">
        <f t="shared" si="0"/>
        <v>#N/A</v>
      </c>
    </row>
    <row r="48" spans="1:11">
      <c r="A48" s="134"/>
      <c r="E48"/>
      <c r="F48"/>
      <c r="G48"/>
      <c r="H48" s="135">
        <f t="shared" si="3"/>
        <v>0</v>
      </c>
      <c r="I48" s="135"/>
      <c r="J48" s="37"/>
      <c r="K48" t="e">
        <f t="shared" si="0"/>
        <v>#N/A</v>
      </c>
    </row>
    <row r="49" spans="1:11">
      <c r="A49" s="134"/>
      <c r="E49"/>
      <c r="F49"/>
      <c r="G49"/>
      <c r="H49" s="135">
        <f t="shared" si="3"/>
        <v>0</v>
      </c>
      <c r="I49" s="135"/>
      <c r="J49" s="37"/>
      <c r="K49" t="e">
        <f t="shared" si="0"/>
        <v>#N/A</v>
      </c>
    </row>
    <row r="50" spans="1:11">
      <c r="A50" s="134"/>
      <c r="E50"/>
      <c r="F50"/>
      <c r="G50"/>
      <c r="H50" s="135">
        <f t="shared" si="3"/>
        <v>0</v>
      </c>
      <c r="I50" s="135"/>
      <c r="J50" s="37"/>
      <c r="K50" t="e">
        <f t="shared" si="0"/>
        <v>#N/A</v>
      </c>
    </row>
    <row r="51" spans="1:11">
      <c r="A51" s="134"/>
      <c r="E51"/>
      <c r="F51"/>
      <c r="G51"/>
      <c r="H51" s="135">
        <f t="shared" si="3"/>
        <v>0</v>
      </c>
      <c r="I51" s="135"/>
      <c r="J51" s="37"/>
      <c r="K51" t="e">
        <f t="shared" si="0"/>
        <v>#N/A</v>
      </c>
    </row>
    <row r="52" spans="1:11">
      <c r="A52" s="134"/>
      <c r="E52"/>
      <c r="F52"/>
      <c r="G52"/>
      <c r="H52" s="135">
        <f t="shared" si="3"/>
        <v>0</v>
      </c>
      <c r="I52" s="135"/>
      <c r="J52" s="37"/>
      <c r="K52" t="e">
        <f t="shared" si="0"/>
        <v>#N/A</v>
      </c>
    </row>
    <row r="53" spans="1:11">
      <c r="A53" s="134"/>
      <c r="E53"/>
      <c r="F53"/>
      <c r="G53"/>
      <c r="H53" s="135">
        <f t="shared" si="3"/>
        <v>0</v>
      </c>
      <c r="I53" s="135"/>
      <c r="J53" s="37"/>
      <c r="K53" t="e">
        <f t="shared" si="0"/>
        <v>#N/A</v>
      </c>
    </row>
    <row r="54" spans="1:11">
      <c r="A54" s="134"/>
      <c r="E54"/>
      <c r="F54"/>
      <c r="G54"/>
      <c r="H54" s="135">
        <f t="shared" si="3"/>
        <v>0</v>
      </c>
      <c r="I54" s="135"/>
      <c r="J54" s="37"/>
      <c r="K54" t="e">
        <f t="shared" si="0"/>
        <v>#N/A</v>
      </c>
    </row>
    <row r="55" spans="1:11">
      <c r="A55" s="134"/>
      <c r="E55"/>
      <c r="F55"/>
      <c r="G55"/>
      <c r="H55" s="135">
        <f t="shared" si="3"/>
        <v>0</v>
      </c>
      <c r="I55" s="135"/>
      <c r="J55" s="37"/>
      <c r="K55" t="e">
        <f t="shared" si="0"/>
        <v>#N/A</v>
      </c>
    </row>
    <row r="56" spans="1:11">
      <c r="A56" s="134"/>
      <c r="E56"/>
      <c r="F56"/>
      <c r="G56"/>
      <c r="H56" s="135">
        <f t="shared" si="3"/>
        <v>0</v>
      </c>
      <c r="I56" s="135"/>
      <c r="J56" s="37"/>
      <c r="K56" t="e">
        <f t="shared" si="0"/>
        <v>#N/A</v>
      </c>
    </row>
    <row r="57" spans="1:11">
      <c r="A57" s="134"/>
      <c r="E57"/>
      <c r="F57"/>
      <c r="G57"/>
      <c r="H57" s="135">
        <f t="shared" si="3"/>
        <v>0</v>
      </c>
      <c r="I57" s="135"/>
      <c r="J57" s="37"/>
      <c r="K57" t="e">
        <f t="shared" si="0"/>
        <v>#N/A</v>
      </c>
    </row>
    <row r="58" spans="1:11">
      <c r="A58" s="134"/>
      <c r="E58"/>
      <c r="F58"/>
      <c r="G58"/>
      <c r="H58" s="135">
        <f t="shared" si="3"/>
        <v>0</v>
      </c>
      <c r="I58" s="135"/>
      <c r="J58" s="37"/>
      <c r="K58" t="e">
        <f t="shared" si="0"/>
        <v>#N/A</v>
      </c>
    </row>
    <row r="59" spans="1:11">
      <c r="A59" s="134"/>
      <c r="E59"/>
      <c r="F59"/>
      <c r="G59"/>
      <c r="H59" s="135">
        <f t="shared" si="3"/>
        <v>0</v>
      </c>
      <c r="I59" s="135"/>
      <c r="J59" s="37"/>
      <c r="K59" t="e">
        <f t="shared" si="0"/>
        <v>#N/A</v>
      </c>
    </row>
    <row r="60" spans="1:11">
      <c r="A60" s="134"/>
      <c r="E60"/>
      <c r="F60"/>
      <c r="G60"/>
      <c r="H60" s="135">
        <f t="shared" si="3"/>
        <v>0</v>
      </c>
      <c r="I60" s="135"/>
      <c r="J60" s="37"/>
      <c r="K60" t="e">
        <f t="shared" si="0"/>
        <v>#N/A</v>
      </c>
    </row>
    <row r="61" spans="1:11">
      <c r="A61" s="134"/>
      <c r="E61"/>
      <c r="F61"/>
      <c r="G61"/>
      <c r="H61" s="135">
        <f t="shared" si="3"/>
        <v>0</v>
      </c>
      <c r="I61" s="135"/>
      <c r="J61" s="37"/>
      <c r="K61" t="e">
        <f t="shared" si="0"/>
        <v>#N/A</v>
      </c>
    </row>
    <row r="62" spans="1:11">
      <c r="A62" s="134"/>
      <c r="E62"/>
      <c r="F62"/>
      <c r="G62"/>
      <c r="H62" s="135">
        <f t="shared" si="3"/>
        <v>0</v>
      </c>
      <c r="I62" s="135"/>
      <c r="J62" s="37"/>
      <c r="K62" t="e">
        <f t="shared" si="0"/>
        <v>#N/A</v>
      </c>
    </row>
    <row r="63" spans="1:11">
      <c r="A63" s="134"/>
      <c r="E63"/>
      <c r="F63"/>
      <c r="G63"/>
      <c r="H63" s="135">
        <f t="shared" si="3"/>
        <v>0</v>
      </c>
      <c r="I63" s="135"/>
      <c r="J63" s="37"/>
      <c r="K63" t="e">
        <f t="shared" si="0"/>
        <v>#N/A</v>
      </c>
    </row>
    <row r="64" spans="1:11">
      <c r="A64" s="134"/>
      <c r="E64"/>
      <c r="F64"/>
      <c r="G64"/>
      <c r="H64" s="135">
        <f t="shared" si="3"/>
        <v>0</v>
      </c>
      <c r="I64" s="135"/>
      <c r="J64" s="37"/>
      <c r="K64" t="e">
        <f t="shared" si="0"/>
        <v>#N/A</v>
      </c>
    </row>
    <row r="65" spans="1:11">
      <c r="A65" s="134"/>
      <c r="E65"/>
      <c r="F65"/>
      <c r="G65"/>
      <c r="H65" s="135">
        <f t="shared" si="3"/>
        <v>0</v>
      </c>
      <c r="I65" s="135"/>
      <c r="J65" s="37"/>
      <c r="K65" t="e">
        <f t="shared" si="0"/>
        <v>#N/A</v>
      </c>
    </row>
    <row r="66" spans="1:11">
      <c r="A66" s="134"/>
      <c r="E66"/>
      <c r="F66"/>
      <c r="G66"/>
      <c r="H66" s="135">
        <f t="shared" si="3"/>
        <v>0</v>
      </c>
      <c r="I66" s="135"/>
      <c r="J66" s="37"/>
      <c r="K66" t="e">
        <f t="shared" ref="K66:K78" si="4">VLOOKUP($B66,$O$1:$P$4,2,0)</f>
        <v>#N/A</v>
      </c>
    </row>
    <row r="67" spans="1:11">
      <c r="A67" s="134"/>
      <c r="E67"/>
      <c r="F67"/>
      <c r="G67"/>
      <c r="H67" s="135">
        <f t="shared" si="3"/>
        <v>0</v>
      </c>
      <c r="I67" s="135"/>
      <c r="J67" s="37"/>
      <c r="K67" t="e">
        <f t="shared" si="4"/>
        <v>#N/A</v>
      </c>
    </row>
    <row r="68" spans="1:11">
      <c r="A68" s="134"/>
      <c r="E68"/>
      <c r="F68"/>
      <c r="G68"/>
      <c r="H68" s="135">
        <f t="shared" si="3"/>
        <v>0</v>
      </c>
      <c r="I68" s="135"/>
      <c r="J68" s="37"/>
      <c r="K68" t="e">
        <f t="shared" si="4"/>
        <v>#N/A</v>
      </c>
    </row>
    <row r="69" spans="1:11">
      <c r="A69" s="134"/>
      <c r="E69"/>
      <c r="F69"/>
      <c r="G69"/>
      <c r="H69" s="135">
        <f t="shared" si="3"/>
        <v>0</v>
      </c>
      <c r="I69" s="135"/>
      <c r="J69" s="37"/>
      <c r="K69" t="e">
        <f t="shared" si="4"/>
        <v>#N/A</v>
      </c>
    </row>
    <row r="70" spans="1:11">
      <c r="A70" s="134"/>
      <c r="E70"/>
      <c r="F70"/>
      <c r="G70"/>
      <c r="H70" s="135">
        <f t="shared" si="3"/>
        <v>0</v>
      </c>
      <c r="I70" s="135"/>
      <c r="J70" s="40"/>
      <c r="K70" t="e">
        <f t="shared" si="4"/>
        <v>#N/A</v>
      </c>
    </row>
    <row r="71" spans="1:11">
      <c r="A71" s="134"/>
      <c r="E71"/>
      <c r="F71"/>
      <c r="G71"/>
      <c r="H71" s="135">
        <f t="shared" si="3"/>
        <v>0</v>
      </c>
      <c r="I71" s="135"/>
      <c r="J71" s="37"/>
      <c r="K71" t="e">
        <f t="shared" si="4"/>
        <v>#N/A</v>
      </c>
    </row>
    <row r="72" spans="1:11">
      <c r="A72" s="134"/>
      <c r="E72"/>
      <c r="F72"/>
      <c r="G72"/>
      <c r="H72" s="135">
        <f t="shared" ref="H72:H77" si="5">G72*1.1</f>
        <v>0</v>
      </c>
      <c r="I72" s="135"/>
      <c r="J72" s="37"/>
      <c r="K72" t="e">
        <f t="shared" si="4"/>
        <v>#N/A</v>
      </c>
    </row>
    <row r="73" spans="1:11">
      <c r="A73" s="134"/>
      <c r="E73"/>
      <c r="F73"/>
      <c r="G73"/>
      <c r="H73" s="135">
        <f t="shared" si="5"/>
        <v>0</v>
      </c>
      <c r="I73" s="135"/>
      <c r="J73" s="37"/>
      <c r="K73" t="e">
        <f t="shared" si="4"/>
        <v>#N/A</v>
      </c>
    </row>
    <row r="74" spans="1:11">
      <c r="A74" s="134"/>
      <c r="E74"/>
      <c r="F74"/>
      <c r="G74"/>
      <c r="H74" s="135">
        <f t="shared" si="5"/>
        <v>0</v>
      </c>
      <c r="I74" s="135"/>
      <c r="J74" s="37"/>
      <c r="K74" t="e">
        <f t="shared" si="4"/>
        <v>#N/A</v>
      </c>
    </row>
    <row r="75" spans="1:11">
      <c r="A75" s="134"/>
      <c r="E75"/>
      <c r="F75"/>
      <c r="G75"/>
      <c r="H75" s="135">
        <f t="shared" si="5"/>
        <v>0</v>
      </c>
      <c r="I75" s="135"/>
      <c r="J75" s="37"/>
      <c r="K75" t="e">
        <f t="shared" si="4"/>
        <v>#N/A</v>
      </c>
    </row>
    <row r="76" spans="1:11">
      <c r="A76" s="134"/>
      <c r="E76"/>
      <c r="F76"/>
      <c r="G76"/>
      <c r="H76" s="135"/>
      <c r="I76" s="135"/>
      <c r="J76" s="37"/>
      <c r="K76" t="e">
        <f t="shared" si="4"/>
        <v>#N/A</v>
      </c>
    </row>
    <row r="77" spans="1:11">
      <c r="A77" s="134"/>
      <c r="E77"/>
      <c r="F77"/>
      <c r="G77"/>
      <c r="H77" s="135">
        <f t="shared" si="5"/>
        <v>0</v>
      </c>
      <c r="I77" s="135"/>
      <c r="J77" s="37"/>
      <c r="K77" t="e">
        <f t="shared" si="4"/>
        <v>#N/A</v>
      </c>
    </row>
    <row r="78" spans="1:11">
      <c r="A78" s="134"/>
      <c r="E78"/>
      <c r="F78"/>
      <c r="G78"/>
      <c r="H78" s="135"/>
      <c r="I78" s="135"/>
      <c r="J78" s="37"/>
      <c r="K78" t="e">
        <f t="shared" si="4"/>
        <v>#N/A</v>
      </c>
    </row>
    <row r="79" spans="1:11">
      <c r="A79" s="134"/>
      <c r="E79" s="135"/>
      <c r="F79" s="135"/>
      <c r="G79" s="135"/>
      <c r="H79" s="135"/>
      <c r="I79" s="135"/>
      <c r="J79" s="37"/>
    </row>
    <row r="80" spans="1:11">
      <c r="A80" s="134"/>
      <c r="E80" s="135"/>
      <c r="F80" s="135"/>
      <c r="G80" s="135"/>
      <c r="H80" s="135"/>
      <c r="I80" s="135"/>
      <c r="J80" s="37"/>
    </row>
    <row r="81" spans="1:10">
      <c r="A81" s="134"/>
      <c r="E81" s="135"/>
      <c r="F81" s="135"/>
      <c r="G81" s="135"/>
      <c r="H81" s="135"/>
      <c r="I81" s="135"/>
      <c r="J81" s="37"/>
    </row>
    <row r="82" spans="1:10">
      <c r="A82" s="134"/>
      <c r="E82" s="135"/>
      <c r="F82" s="135"/>
      <c r="G82" s="135"/>
      <c r="H82" s="135"/>
      <c r="I82" s="135"/>
      <c r="J82" s="37"/>
    </row>
    <row r="83" spans="1:10">
      <c r="A83" s="134"/>
      <c r="E83" s="135"/>
      <c r="F83" s="135"/>
      <c r="G83" s="135"/>
      <c r="H83" s="135"/>
      <c r="I83" s="135"/>
      <c r="J83" s="37"/>
    </row>
    <row r="84" spans="1:10">
      <c r="A84" s="134"/>
      <c r="E84" s="135"/>
      <c r="F84" s="135"/>
      <c r="G84" s="135"/>
      <c r="H84" s="135"/>
      <c r="I84" s="135"/>
      <c r="J84" s="37"/>
    </row>
    <row r="85" spans="1:10">
      <c r="A85" s="134"/>
      <c r="E85" s="135"/>
      <c r="F85" s="135"/>
      <c r="G85" s="135"/>
      <c r="H85" s="135"/>
      <c r="I85" s="135"/>
      <c r="J85" s="37"/>
    </row>
    <row r="86" spans="1:10">
      <c r="A86" s="134"/>
      <c r="E86" s="135"/>
      <c r="F86" s="135"/>
      <c r="G86" s="135"/>
      <c r="H86" s="135"/>
      <c r="I86" s="135"/>
      <c r="J86" s="37"/>
    </row>
    <row r="87" spans="1:10">
      <c r="A87" s="134"/>
      <c r="E87" s="135"/>
      <c r="F87" s="135"/>
      <c r="G87" s="135"/>
      <c r="H87" s="135"/>
      <c r="I87" s="135"/>
      <c r="J87" s="37"/>
    </row>
    <row r="88" spans="1:10">
      <c r="A88" s="134"/>
      <c r="E88" s="135"/>
      <c r="F88" s="135"/>
      <c r="G88" s="135"/>
      <c r="H88" s="135"/>
      <c r="I88" s="135"/>
      <c r="J88" s="37"/>
    </row>
    <row r="89" spans="1:10">
      <c r="A89" s="134"/>
      <c r="E89" s="135"/>
      <c r="F89" s="135"/>
      <c r="G89" s="135"/>
      <c r="H89" s="135"/>
      <c r="I89" s="135"/>
      <c r="J89" s="37"/>
    </row>
    <row r="90" spans="1:10">
      <c r="A90" s="134"/>
      <c r="E90" s="135"/>
      <c r="F90" s="135"/>
      <c r="G90" s="135"/>
      <c r="H90" s="135"/>
      <c r="I90" s="135"/>
      <c r="J90" s="40"/>
    </row>
    <row r="91" spans="1:10">
      <c r="A91" s="134"/>
      <c r="E91" s="135"/>
      <c r="F91" s="135"/>
      <c r="G91" s="135"/>
      <c r="H91" s="135"/>
      <c r="I91" s="135"/>
      <c r="J91" s="37"/>
    </row>
    <row r="92" spans="1:10">
      <c r="A92" s="134"/>
      <c r="E92" s="135"/>
      <c r="F92" s="135"/>
      <c r="G92" s="135"/>
      <c r="H92" s="135"/>
      <c r="I92" s="135"/>
      <c r="J92" s="37"/>
    </row>
    <row r="93" spans="1:10">
      <c r="A93" s="134"/>
      <c r="E93" s="135"/>
      <c r="F93" s="135"/>
      <c r="G93" s="135"/>
      <c r="H93" s="135"/>
      <c r="I93" s="135"/>
      <c r="J93" s="37"/>
    </row>
    <row r="94" spans="1:10">
      <c r="A94" s="134"/>
      <c r="E94" s="135"/>
      <c r="F94" s="135"/>
      <c r="G94" s="135"/>
      <c r="H94" s="135"/>
      <c r="I94" s="135"/>
      <c r="J94" s="40"/>
    </row>
    <row r="95" spans="1:10">
      <c r="A95" s="134"/>
      <c r="E95" s="135"/>
      <c r="F95" s="135"/>
      <c r="G95" s="135"/>
      <c r="H95" s="135"/>
      <c r="I95" s="135"/>
      <c r="J95" s="37"/>
    </row>
    <row r="96" spans="1:10">
      <c r="A96" s="134"/>
      <c r="E96" s="135"/>
      <c r="F96" s="135"/>
      <c r="G96" s="135"/>
      <c r="H96" s="135"/>
      <c r="I96" s="135"/>
      <c r="J96" s="37"/>
    </row>
    <row r="97" spans="1:10">
      <c r="A97" s="134"/>
      <c r="E97" s="135"/>
      <c r="F97" s="135"/>
      <c r="G97" s="135"/>
      <c r="H97" s="135"/>
      <c r="I97" s="135"/>
      <c r="J97" s="37"/>
    </row>
    <row r="98" spans="1:10">
      <c r="A98" s="134"/>
      <c r="E98" s="135"/>
      <c r="F98" s="135"/>
      <c r="G98" s="135"/>
      <c r="H98" s="135"/>
      <c r="I98" s="135"/>
      <c r="J98" s="37"/>
    </row>
    <row r="99" spans="1:10">
      <c r="A99" s="134"/>
      <c r="E99" s="135"/>
      <c r="F99" s="135"/>
      <c r="G99" s="135"/>
      <c r="H99" s="135"/>
      <c r="I99" s="135"/>
      <c r="J99" s="37"/>
    </row>
    <row r="100" spans="1:10">
      <c r="A100" s="134"/>
      <c r="E100" s="135"/>
      <c r="F100" s="135"/>
      <c r="G100" s="135"/>
      <c r="H100" s="135"/>
      <c r="I100" s="135"/>
      <c r="J100" s="37"/>
    </row>
    <row r="101" spans="1:10">
      <c r="A101" s="134"/>
      <c r="E101" s="135"/>
      <c r="F101" s="135"/>
      <c r="G101" s="135"/>
      <c r="H101" s="135"/>
      <c r="I101" s="135"/>
      <c r="J101" s="37"/>
    </row>
    <row r="102" spans="1:10">
      <c r="A102" s="134"/>
      <c r="E102" s="135"/>
      <c r="F102" s="135"/>
      <c r="G102" s="135"/>
      <c r="H102" s="135"/>
      <c r="I102" s="135"/>
      <c r="J102" s="37"/>
    </row>
    <row r="103" spans="1:10">
      <c r="A103" s="134"/>
      <c r="E103" s="135"/>
      <c r="F103" s="135"/>
      <c r="G103" s="135"/>
      <c r="H103" s="135"/>
      <c r="I103" s="135"/>
      <c r="J103" s="37"/>
    </row>
    <row r="104" spans="1:10">
      <c r="A104" s="134"/>
      <c r="E104" s="135"/>
      <c r="F104" s="135"/>
      <c r="G104" s="135"/>
      <c r="H104" s="135"/>
      <c r="I104" s="135"/>
      <c r="J104" s="37"/>
    </row>
    <row r="105" spans="1:10">
      <c r="A105" s="134"/>
      <c r="E105" s="135"/>
      <c r="F105" s="135"/>
      <c r="G105" s="135"/>
      <c r="H105" s="135"/>
      <c r="I105" s="135"/>
      <c r="J105" s="37"/>
    </row>
    <row r="106" spans="1:10">
      <c r="A106" s="134"/>
      <c r="E106" s="135"/>
      <c r="F106" s="135"/>
      <c r="G106" s="135"/>
      <c r="H106" s="135"/>
      <c r="I106" s="135"/>
      <c r="J106" s="37"/>
    </row>
    <row r="107" spans="1:10">
      <c r="A107" s="134"/>
      <c r="E107" s="135"/>
      <c r="F107" s="135"/>
      <c r="G107" s="135"/>
      <c r="H107" s="135"/>
      <c r="I107" s="135"/>
      <c r="J107" s="37"/>
    </row>
    <row r="108" spans="1:10">
      <c r="A108" s="134"/>
      <c r="E108" s="135"/>
      <c r="F108" s="135"/>
      <c r="G108" s="135"/>
      <c r="H108" s="135"/>
      <c r="I108" s="135"/>
      <c r="J108" s="37"/>
    </row>
    <row r="109" spans="1:10">
      <c r="A109" s="134"/>
      <c r="E109" s="135"/>
      <c r="F109" s="135"/>
      <c r="G109" s="135"/>
      <c r="H109" s="135"/>
      <c r="I109" s="135"/>
      <c r="J109" s="37"/>
    </row>
    <row r="110" spans="1:10">
      <c r="A110" s="134"/>
      <c r="E110" s="135"/>
      <c r="F110" s="135"/>
      <c r="G110" s="135"/>
      <c r="H110" s="135"/>
      <c r="I110" s="135"/>
      <c r="J110" s="37"/>
    </row>
    <row r="111" spans="1:10">
      <c r="A111" s="134"/>
      <c r="E111" s="135"/>
      <c r="F111" s="135"/>
      <c r="G111" s="135"/>
      <c r="H111" s="135"/>
      <c r="I111" s="135"/>
      <c r="J111" s="37"/>
    </row>
    <row r="112" spans="1:10">
      <c r="A112" s="134"/>
      <c r="E112" s="135"/>
      <c r="F112" s="135"/>
      <c r="G112" s="135"/>
      <c r="H112" s="135"/>
      <c r="I112" s="135"/>
      <c r="J112" s="37"/>
    </row>
    <row r="113" spans="1:10">
      <c r="A113" s="134"/>
      <c r="E113" s="135"/>
      <c r="F113" s="135"/>
      <c r="G113" s="135"/>
      <c r="H113" s="135"/>
      <c r="I113" s="135"/>
      <c r="J113" s="37"/>
    </row>
    <row r="114" spans="1:10">
      <c r="A114" s="134"/>
      <c r="E114" s="135"/>
      <c r="F114" s="135"/>
      <c r="G114" s="135"/>
      <c r="H114" s="135"/>
      <c r="I114" s="135"/>
      <c r="J114" s="37"/>
    </row>
    <row r="115" spans="1:10">
      <c r="A115" s="134"/>
      <c r="E115" s="135"/>
      <c r="F115" s="135"/>
      <c r="G115" s="135"/>
      <c r="H115" s="135"/>
      <c r="I115" s="135"/>
      <c r="J115" s="37"/>
    </row>
    <row r="116" spans="1:10">
      <c r="A116" s="134"/>
      <c r="E116" s="135"/>
      <c r="F116" s="135"/>
      <c r="G116" s="135"/>
      <c r="H116" s="135"/>
      <c r="I116" s="135"/>
      <c r="J116" s="37"/>
    </row>
    <row r="117" spans="1:10">
      <c r="A117" s="134"/>
      <c r="E117" s="135"/>
      <c r="F117" s="135"/>
      <c r="G117" s="135"/>
      <c r="H117" s="135"/>
      <c r="I117" s="135"/>
      <c r="J117" s="37"/>
    </row>
    <row r="118" spans="1:10">
      <c r="A118" s="134"/>
      <c r="E118" s="135"/>
      <c r="F118" s="135"/>
      <c r="G118" s="135"/>
      <c r="H118" s="135"/>
      <c r="I118" s="135"/>
      <c r="J118" s="37"/>
    </row>
    <row r="119" spans="1:10">
      <c r="A119" s="134"/>
      <c r="E119" s="135"/>
      <c r="F119" s="135"/>
      <c r="G119" s="135"/>
      <c r="H119" s="135"/>
      <c r="I119" s="135"/>
      <c r="J119" s="37"/>
    </row>
    <row r="120" spans="1:10">
      <c r="A120" s="134"/>
      <c r="E120" s="135"/>
      <c r="F120" s="135"/>
      <c r="G120" s="135"/>
      <c r="H120" s="135"/>
      <c r="I120" s="135"/>
      <c r="J120" s="40"/>
    </row>
    <row r="121" spans="1:10">
      <c r="A121" s="134"/>
      <c r="E121" s="135"/>
      <c r="F121" s="135"/>
      <c r="G121" s="135"/>
      <c r="H121" s="135"/>
      <c r="I121" s="135"/>
      <c r="J121" s="37"/>
    </row>
    <row r="122" spans="1:10">
      <c r="A122" s="134"/>
      <c r="E122" s="135"/>
      <c r="F122" s="135"/>
      <c r="G122" s="135"/>
      <c r="H122" s="135"/>
      <c r="I122" s="135"/>
      <c r="J122" s="37"/>
    </row>
    <row r="123" spans="1:10">
      <c r="A123" s="134"/>
      <c r="E123" s="135"/>
      <c r="F123" s="135"/>
      <c r="G123" s="135"/>
      <c r="H123" s="135"/>
      <c r="I123" s="135"/>
      <c r="J123" s="37"/>
    </row>
    <row r="124" spans="1:10">
      <c r="A124" s="134"/>
      <c r="E124" s="135"/>
      <c r="F124" s="135"/>
      <c r="G124" s="135"/>
      <c r="H124" s="135"/>
      <c r="I124" s="135"/>
      <c r="J124" s="37"/>
    </row>
    <row r="125" spans="1:10">
      <c r="A125" s="134"/>
      <c r="E125" s="135"/>
      <c r="F125" s="135"/>
      <c r="G125" s="135"/>
      <c r="H125" s="135"/>
      <c r="I125" s="135"/>
      <c r="J125" s="37"/>
    </row>
    <row r="126" spans="1:10">
      <c r="A126" s="134"/>
      <c r="E126" s="135"/>
      <c r="F126" s="135"/>
      <c r="G126" s="135"/>
      <c r="H126" s="135"/>
      <c r="I126" s="135"/>
      <c r="J126" s="37"/>
    </row>
    <row r="127" spans="1:10">
      <c r="A127" s="134"/>
      <c r="E127" s="135"/>
      <c r="F127" s="135"/>
      <c r="G127" s="135"/>
      <c r="H127" s="135"/>
      <c r="I127" s="135"/>
      <c r="J127" s="37"/>
    </row>
    <row r="128" spans="1:10">
      <c r="A128" s="134"/>
      <c r="E128" s="135"/>
      <c r="F128" s="135"/>
      <c r="G128" s="135"/>
      <c r="H128" s="135"/>
      <c r="I128" s="135"/>
      <c r="J128" s="37"/>
    </row>
    <row r="129" spans="1:10">
      <c r="A129" s="134"/>
      <c r="E129" s="135"/>
      <c r="F129" s="135"/>
      <c r="G129" s="135"/>
      <c r="H129" s="135"/>
      <c r="I129" s="135"/>
      <c r="J129" s="37"/>
    </row>
    <row r="130" spans="1:10">
      <c r="A130" s="134"/>
      <c r="E130" s="135"/>
      <c r="F130" s="135"/>
      <c r="G130" s="135"/>
      <c r="H130" s="135"/>
      <c r="I130" s="135"/>
      <c r="J130" s="37"/>
    </row>
    <row r="131" spans="1:10">
      <c r="A131" s="134"/>
      <c r="E131" s="135"/>
      <c r="F131" s="135"/>
      <c r="G131" s="135"/>
      <c r="H131" s="135"/>
      <c r="I131" s="135"/>
      <c r="J131" s="37"/>
    </row>
    <row r="132" spans="1:10">
      <c r="A132" s="134"/>
      <c r="E132" s="135"/>
      <c r="F132" s="135"/>
      <c r="G132" s="135"/>
      <c r="H132" s="135"/>
      <c r="I132" s="135"/>
      <c r="J132" s="37"/>
    </row>
    <row r="133" spans="1:10">
      <c r="A133" s="134"/>
      <c r="E133" s="135"/>
      <c r="F133" s="135"/>
      <c r="G133" s="135"/>
      <c r="H133" s="135"/>
      <c r="I133" s="135"/>
      <c r="J133" s="37"/>
    </row>
    <row r="134" spans="1:10">
      <c r="A134" s="134"/>
      <c r="E134" s="135"/>
      <c r="F134" s="135"/>
      <c r="G134" s="135"/>
      <c r="H134" s="135"/>
      <c r="I134" s="135"/>
      <c r="J134" s="37"/>
    </row>
    <row r="135" spans="1:10">
      <c r="A135" s="134"/>
      <c r="E135" s="135"/>
      <c r="F135" s="135"/>
      <c r="G135" s="135"/>
      <c r="H135" s="135"/>
      <c r="I135" s="135"/>
      <c r="J135" s="37"/>
    </row>
    <row r="136" spans="1:10">
      <c r="A136" s="134"/>
      <c r="E136" s="135"/>
      <c r="F136" s="135"/>
      <c r="G136" s="135"/>
      <c r="H136" s="135"/>
      <c r="I136" s="135"/>
      <c r="J136" s="40"/>
    </row>
    <row r="137" spans="1:10">
      <c r="A137" s="134"/>
      <c r="E137" s="135"/>
      <c r="F137" s="135"/>
      <c r="G137" s="135"/>
      <c r="H137" s="135"/>
      <c r="I137" s="135"/>
      <c r="J137" s="37"/>
    </row>
    <row r="138" spans="1:10">
      <c r="A138" s="134"/>
      <c r="E138" s="135"/>
      <c r="F138" s="135"/>
      <c r="G138" s="135"/>
      <c r="H138" s="135"/>
      <c r="I138" s="135"/>
      <c r="J138" s="37"/>
    </row>
    <row r="139" spans="1:10">
      <c r="A139" s="134"/>
      <c r="E139" s="135"/>
      <c r="F139" s="135"/>
      <c r="G139" s="135"/>
      <c r="H139" s="135"/>
      <c r="I139" s="135"/>
      <c r="J139" s="37"/>
    </row>
    <row r="140" spans="1:10">
      <c r="A140" s="134"/>
      <c r="E140" s="135"/>
      <c r="F140" s="135"/>
      <c r="G140" s="135"/>
      <c r="H140" s="135"/>
      <c r="I140" s="135"/>
      <c r="J140" s="37"/>
    </row>
    <row r="141" spans="1:10">
      <c r="A141" s="134"/>
      <c r="E141" s="135"/>
      <c r="F141" s="135"/>
      <c r="G141" s="135"/>
      <c r="H141" s="135"/>
      <c r="I141" s="135"/>
      <c r="J141" s="37"/>
    </row>
    <row r="142" spans="1:10">
      <c r="A142" s="134"/>
      <c r="E142" s="135"/>
      <c r="F142" s="135"/>
      <c r="G142" s="135"/>
      <c r="H142" s="135"/>
      <c r="I142" s="135"/>
      <c r="J142" s="37"/>
    </row>
    <row r="143" spans="1:10">
      <c r="A143" s="134"/>
      <c r="E143" s="135"/>
      <c r="F143" s="135"/>
      <c r="G143" s="135"/>
      <c r="H143" s="135"/>
      <c r="I143" s="135"/>
      <c r="J143" s="40"/>
    </row>
    <row r="144" spans="1:10">
      <c r="A144" s="134"/>
      <c r="E144" s="135"/>
      <c r="F144" s="135"/>
      <c r="G144" s="135"/>
      <c r="H144" s="135"/>
      <c r="I144" s="135"/>
      <c r="J144" s="40"/>
    </row>
    <row r="145" spans="1:10">
      <c r="A145" s="134"/>
      <c r="E145" s="135"/>
      <c r="F145" s="135"/>
      <c r="G145" s="135"/>
      <c r="H145" s="135"/>
      <c r="I145" s="135"/>
      <c r="J145" s="37"/>
    </row>
    <row r="146" spans="1:10">
      <c r="A146" s="134"/>
      <c r="E146" s="135"/>
      <c r="F146" s="135"/>
      <c r="G146" s="135"/>
      <c r="H146" s="135"/>
      <c r="I146" s="135"/>
      <c r="J146" s="37"/>
    </row>
    <row r="147" spans="1:10">
      <c r="A147" s="134"/>
      <c r="E147" s="135"/>
      <c r="F147" s="135"/>
      <c r="G147" s="135"/>
      <c r="H147" s="135"/>
      <c r="I147" s="135"/>
      <c r="J147" s="40"/>
    </row>
    <row r="148" spans="1:10">
      <c r="A148" s="134"/>
      <c r="E148" s="135"/>
      <c r="F148" s="135"/>
      <c r="G148" s="135"/>
      <c r="H148" s="135"/>
      <c r="I148" s="135"/>
      <c r="J148" s="37"/>
    </row>
    <row r="149" spans="1:10">
      <c r="A149" s="134"/>
      <c r="E149" s="135"/>
      <c r="F149" s="135"/>
      <c r="G149" s="135"/>
      <c r="H149" s="135"/>
      <c r="I149" s="135"/>
      <c r="J149" s="37"/>
    </row>
    <row r="150" spans="1:10">
      <c r="A150" s="134"/>
      <c r="E150" s="135"/>
      <c r="F150" s="135"/>
      <c r="G150" s="135"/>
      <c r="H150" s="135"/>
      <c r="I150" s="135"/>
      <c r="J150" s="37"/>
    </row>
    <row r="151" spans="1:10">
      <c r="A151" s="134"/>
      <c r="E151" s="135"/>
      <c r="F151" s="135"/>
      <c r="G151" s="135"/>
      <c r="H151" s="135"/>
      <c r="I151" s="135"/>
      <c r="J151" s="40"/>
    </row>
    <row r="152" spans="1:10">
      <c r="A152" s="134"/>
      <c r="E152" s="135"/>
      <c r="F152" s="135"/>
      <c r="G152" s="135"/>
      <c r="H152" s="135"/>
      <c r="I152" s="135"/>
      <c r="J152" s="37"/>
    </row>
    <row r="153" spans="1:10">
      <c r="A153" s="134"/>
      <c r="E153" s="135"/>
      <c r="F153" s="135"/>
      <c r="G153" s="135"/>
      <c r="H153" s="135"/>
      <c r="I153" s="135"/>
      <c r="J153" s="37"/>
    </row>
    <row r="154" spans="1:10">
      <c r="A154" s="134"/>
      <c r="E154" s="135"/>
      <c r="F154" s="135"/>
      <c r="G154" s="135"/>
      <c r="H154" s="135"/>
      <c r="I154" s="135"/>
      <c r="J154" s="37"/>
    </row>
    <row r="155" spans="1:10">
      <c r="A155" s="134"/>
      <c r="E155" s="135"/>
      <c r="F155" s="135"/>
      <c r="G155" s="135"/>
      <c r="H155" s="135"/>
      <c r="I155" s="135"/>
      <c r="J155" s="37"/>
    </row>
    <row r="156" spans="1:10">
      <c r="A156" s="134"/>
      <c r="E156" s="135"/>
      <c r="F156" s="135"/>
      <c r="G156" s="135"/>
      <c r="H156" s="135"/>
      <c r="I156" s="135"/>
      <c r="J156" s="37"/>
    </row>
    <row r="157" spans="1:10">
      <c r="A157" s="134"/>
      <c r="E157" s="135"/>
      <c r="F157" s="135"/>
      <c r="G157" s="135"/>
      <c r="H157" s="135"/>
      <c r="I157" s="135"/>
      <c r="J157" s="37"/>
    </row>
    <row r="158" spans="1:10">
      <c r="A158" s="134"/>
      <c r="E158" s="135"/>
      <c r="F158" s="135"/>
      <c r="G158" s="135"/>
      <c r="H158" s="135"/>
      <c r="I158" s="135"/>
      <c r="J158" s="37"/>
    </row>
    <row r="159" spans="1:10">
      <c r="A159" s="134"/>
      <c r="E159" s="135"/>
      <c r="F159" s="135"/>
      <c r="G159" s="135"/>
      <c r="H159" s="135"/>
      <c r="I159" s="135"/>
      <c r="J159" s="37"/>
    </row>
    <row r="160" spans="1:10">
      <c r="A160" s="134"/>
      <c r="E160" s="135"/>
      <c r="F160" s="135"/>
      <c r="G160" s="135"/>
      <c r="H160" s="135"/>
      <c r="I160" s="135"/>
      <c r="J160" s="37"/>
    </row>
    <row r="161" spans="1:10">
      <c r="A161" s="134"/>
      <c r="E161" s="135"/>
      <c r="F161" s="135"/>
      <c r="G161" s="135"/>
      <c r="H161" s="135"/>
      <c r="I161" s="135"/>
      <c r="J161" s="37"/>
    </row>
    <row r="162" spans="1:10">
      <c r="A162" s="134"/>
      <c r="E162" s="135"/>
      <c r="F162" s="135"/>
      <c r="G162" s="135"/>
      <c r="H162" s="135"/>
      <c r="I162" s="135"/>
      <c r="J162" s="37"/>
    </row>
    <row r="163" spans="1:10">
      <c r="A163" s="134"/>
      <c r="E163" s="135"/>
      <c r="F163" s="135"/>
      <c r="G163" s="135"/>
      <c r="H163" s="135"/>
      <c r="I163" s="135"/>
      <c r="J163" s="37"/>
    </row>
    <row r="164" spans="1:10">
      <c r="A164" s="134"/>
      <c r="E164" s="135"/>
      <c r="F164" s="135"/>
      <c r="G164" s="135"/>
      <c r="H164" s="135"/>
      <c r="I164" s="135"/>
      <c r="J164" s="37"/>
    </row>
    <row r="165" spans="1:10">
      <c r="A165" s="134"/>
      <c r="E165" s="135"/>
      <c r="F165" s="135"/>
      <c r="G165" s="135"/>
      <c r="H165" s="135"/>
      <c r="I165" s="135"/>
      <c r="J165" s="37"/>
    </row>
    <row r="166" spans="1:10">
      <c r="A166" s="134"/>
      <c r="E166" s="135"/>
      <c r="F166" s="135"/>
      <c r="G166" s="135"/>
      <c r="H166" s="135"/>
      <c r="I166" s="135"/>
      <c r="J166" s="37"/>
    </row>
    <row r="167" spans="1:10">
      <c r="A167" s="134"/>
      <c r="E167" s="135"/>
      <c r="F167" s="135"/>
      <c r="G167" s="135"/>
      <c r="H167" s="135"/>
      <c r="I167" s="135"/>
      <c r="J167" s="37"/>
    </row>
    <row r="168" spans="1:10">
      <c r="A168" s="134"/>
      <c r="E168" s="135"/>
      <c r="F168" s="135"/>
      <c r="G168" s="135"/>
      <c r="H168" s="135"/>
      <c r="I168" s="135"/>
      <c r="J168" s="37"/>
    </row>
    <row r="169" spans="1:10">
      <c r="A169" s="134"/>
      <c r="E169" s="135"/>
      <c r="F169" s="135"/>
      <c r="G169" s="135"/>
      <c r="H169" s="135"/>
      <c r="I169" s="135"/>
      <c r="J169" s="37"/>
    </row>
    <row r="170" spans="1:10">
      <c r="A170" s="134"/>
      <c r="E170" s="135"/>
      <c r="F170" s="135"/>
      <c r="G170" s="135"/>
      <c r="H170" s="135"/>
      <c r="I170" s="135"/>
      <c r="J170" s="37"/>
    </row>
    <row r="171" spans="1:10">
      <c r="A171" s="134"/>
      <c r="E171" s="135"/>
      <c r="F171" s="135"/>
      <c r="G171" s="135"/>
      <c r="H171" s="135"/>
      <c r="I171" s="135"/>
      <c r="J171" s="37"/>
    </row>
    <row r="172" spans="1:10">
      <c r="A172" s="134"/>
      <c r="E172" s="135"/>
      <c r="F172" s="135"/>
      <c r="G172" s="135"/>
      <c r="H172" s="135"/>
      <c r="I172" s="135"/>
      <c r="J172" s="37"/>
    </row>
    <row r="173" spans="1:10">
      <c r="A173" s="134"/>
      <c r="E173" s="135"/>
      <c r="F173" s="135"/>
      <c r="G173" s="135"/>
      <c r="H173" s="135"/>
      <c r="I173" s="135"/>
      <c r="J173" s="37"/>
    </row>
    <row r="174" spans="1:10">
      <c r="A174" s="134"/>
      <c r="E174" s="135"/>
      <c r="F174" s="135"/>
      <c r="G174" s="135"/>
      <c r="H174" s="135"/>
      <c r="I174" s="135"/>
      <c r="J174" s="37"/>
    </row>
    <row r="175" spans="1:10">
      <c r="A175" s="134"/>
      <c r="E175" s="135"/>
      <c r="F175" s="135"/>
      <c r="G175" s="135"/>
      <c r="H175" s="135"/>
      <c r="I175" s="135"/>
      <c r="J175" s="37"/>
    </row>
    <row r="176" spans="1:10">
      <c r="A176" s="134"/>
      <c r="E176" s="135"/>
      <c r="F176" s="135"/>
      <c r="G176" s="135"/>
      <c r="H176" s="135"/>
      <c r="I176" s="135"/>
      <c r="J176" s="37"/>
    </row>
    <row r="177" spans="1:10">
      <c r="A177" s="134"/>
      <c r="E177" s="135"/>
      <c r="F177" s="135"/>
      <c r="G177" s="135"/>
      <c r="H177" s="135"/>
      <c r="I177" s="135"/>
      <c r="J177" s="40"/>
    </row>
    <row r="178" spans="1:10">
      <c r="A178" s="134"/>
      <c r="E178" s="135"/>
      <c r="F178" s="135"/>
      <c r="G178" s="135"/>
      <c r="H178" s="135"/>
      <c r="I178" s="135"/>
      <c r="J178" s="37"/>
    </row>
    <row r="179" spans="1:10">
      <c r="A179" s="134"/>
      <c r="E179" s="135"/>
      <c r="F179" s="135"/>
      <c r="G179" s="135"/>
      <c r="H179" s="135"/>
      <c r="I179" s="135"/>
      <c r="J179" s="37"/>
    </row>
    <row r="180" spans="1:10">
      <c r="A180" s="134"/>
      <c r="E180" s="135"/>
      <c r="F180" s="135"/>
      <c r="G180" s="135"/>
      <c r="H180" s="135"/>
      <c r="I180" s="135"/>
      <c r="J180" s="37"/>
    </row>
    <row r="181" spans="1:10">
      <c r="A181" s="134"/>
      <c r="E181" s="135"/>
      <c r="F181" s="135"/>
      <c r="G181" s="135"/>
      <c r="H181" s="135"/>
      <c r="I181" s="135"/>
      <c r="J181" s="37"/>
    </row>
    <row r="182" spans="1:10">
      <c r="A182" s="134"/>
      <c r="E182" s="135"/>
      <c r="F182" s="135"/>
      <c r="G182" s="135"/>
      <c r="H182" s="135"/>
      <c r="I182" s="135"/>
      <c r="J182" s="37"/>
    </row>
    <row r="183" spans="1:10">
      <c r="A183" s="134"/>
      <c r="E183" s="135"/>
      <c r="F183" s="135"/>
      <c r="G183" s="135"/>
      <c r="H183" s="135"/>
      <c r="I183" s="135"/>
      <c r="J183" s="37"/>
    </row>
    <row r="184" spans="1:10">
      <c r="A184" s="134"/>
      <c r="E184" s="135"/>
      <c r="F184" s="135"/>
      <c r="G184" s="135"/>
      <c r="H184" s="135"/>
      <c r="I184" s="135"/>
      <c r="J184" s="37"/>
    </row>
    <row r="185" spans="1:10">
      <c r="A185" s="134"/>
      <c r="E185" s="135"/>
      <c r="F185" s="135"/>
      <c r="G185" s="135"/>
      <c r="H185" s="135"/>
      <c r="I185" s="135"/>
      <c r="J185" s="40"/>
    </row>
    <row r="186" spans="1:10">
      <c r="A186" s="134"/>
      <c r="E186" s="135"/>
      <c r="F186" s="135"/>
      <c r="G186" s="135"/>
      <c r="H186" s="135"/>
      <c r="I186" s="135"/>
      <c r="J186" s="37"/>
    </row>
    <row r="187" spans="1:10">
      <c r="A187" s="134"/>
      <c r="E187" s="135"/>
      <c r="F187" s="135"/>
      <c r="G187" s="135"/>
      <c r="H187" s="135"/>
      <c r="I187" s="135"/>
      <c r="J187" s="37"/>
    </row>
    <row r="188" spans="1:10">
      <c r="A188" s="134"/>
      <c r="E188" s="135"/>
      <c r="F188" s="135"/>
      <c r="G188" s="135"/>
      <c r="H188" s="135"/>
      <c r="I188" s="135"/>
      <c r="J188" s="37"/>
    </row>
    <row r="189" spans="1:10">
      <c r="A189" s="134"/>
      <c r="E189" s="135"/>
      <c r="F189" s="135"/>
      <c r="G189" s="135"/>
      <c r="H189" s="135"/>
      <c r="I189" s="135"/>
      <c r="J189" s="37"/>
    </row>
    <row r="190" spans="1:10">
      <c r="A190" s="134"/>
      <c r="E190" s="135"/>
      <c r="F190" s="135"/>
      <c r="G190" s="135"/>
      <c r="H190" s="135"/>
      <c r="I190" s="135"/>
      <c r="J190" s="37"/>
    </row>
    <row r="191" spans="1:10">
      <c r="A191" s="134"/>
      <c r="E191" s="135"/>
      <c r="F191" s="135"/>
      <c r="G191" s="135"/>
      <c r="H191" s="135"/>
      <c r="I191" s="135"/>
      <c r="J191" s="37"/>
    </row>
    <row r="192" spans="1:10">
      <c r="A192" s="134"/>
      <c r="E192" s="135"/>
      <c r="F192" s="135"/>
      <c r="G192" s="135"/>
      <c r="H192" s="135"/>
      <c r="I192" s="135"/>
      <c r="J192" s="37"/>
    </row>
    <row r="193" spans="1:10">
      <c r="A193" s="134"/>
      <c r="E193" s="135"/>
      <c r="F193" s="135"/>
      <c r="G193" s="135"/>
      <c r="H193" s="135"/>
      <c r="I193" s="135"/>
      <c r="J193" s="37"/>
    </row>
    <row r="194" spans="1:10">
      <c r="A194" s="134"/>
      <c r="E194" s="135"/>
      <c r="F194" s="135"/>
      <c r="G194" s="135"/>
      <c r="H194" s="135"/>
      <c r="I194" s="135"/>
      <c r="J194" s="37"/>
    </row>
    <row r="195" spans="1:10">
      <c r="A195" s="134"/>
      <c r="E195" s="135"/>
      <c r="F195" s="135"/>
      <c r="G195" s="135"/>
      <c r="H195" s="135"/>
      <c r="I195" s="135"/>
      <c r="J195" s="40"/>
    </row>
    <row r="196" spans="1:10">
      <c r="A196" s="134"/>
      <c r="E196" s="135"/>
      <c r="F196" s="135"/>
      <c r="G196" s="135"/>
      <c r="H196" s="135"/>
      <c r="I196" s="135"/>
      <c r="J196" s="37"/>
    </row>
    <row r="197" spans="1:10">
      <c r="A197" s="134"/>
      <c r="E197" s="135"/>
      <c r="F197" s="135"/>
      <c r="G197" s="135"/>
      <c r="H197" s="135"/>
      <c r="I197" s="135"/>
      <c r="J197" s="37"/>
    </row>
    <row r="198" spans="1:10">
      <c r="A198" s="134"/>
      <c r="E198" s="135"/>
      <c r="F198" s="135"/>
      <c r="G198" s="135"/>
      <c r="H198" s="135"/>
      <c r="I198" s="135"/>
      <c r="J198" s="37"/>
    </row>
    <row r="199" spans="1:10">
      <c r="A199" s="134"/>
      <c r="E199" s="135"/>
      <c r="F199" s="135"/>
      <c r="G199" s="135"/>
      <c r="H199" s="135"/>
      <c r="I199" s="135"/>
      <c r="J199" s="37"/>
    </row>
    <row r="200" spans="1:10">
      <c r="A200" s="134"/>
      <c r="E200" s="135"/>
      <c r="F200" s="135"/>
      <c r="G200" s="135"/>
      <c r="H200" s="135"/>
      <c r="I200" s="135"/>
      <c r="J200" s="37"/>
    </row>
    <row r="201" spans="1:10">
      <c r="A201" s="134"/>
      <c r="E201" s="135"/>
      <c r="F201" s="135"/>
      <c r="G201" s="135"/>
      <c r="H201" s="135"/>
      <c r="I201" s="135"/>
      <c r="J201" s="37"/>
    </row>
    <row r="202" spans="1:10">
      <c r="A202" s="134"/>
      <c r="E202" s="135"/>
      <c r="F202" s="135"/>
      <c r="G202" s="135"/>
      <c r="H202" s="135"/>
      <c r="I202" s="135"/>
      <c r="J202" s="37"/>
    </row>
    <row r="203" spans="1:10">
      <c r="A203" s="134"/>
      <c r="E203" s="135"/>
      <c r="F203" s="135"/>
      <c r="G203" s="135"/>
      <c r="H203" s="135"/>
      <c r="I203" s="135"/>
      <c r="J203" s="37"/>
    </row>
    <row r="204" spans="1:10">
      <c r="A204" s="134"/>
      <c r="E204" s="135"/>
      <c r="F204" s="135"/>
      <c r="G204" s="135"/>
      <c r="H204" s="135"/>
      <c r="I204" s="135"/>
      <c r="J204" s="37"/>
    </row>
    <row r="205" spans="1:10">
      <c r="A205" s="134"/>
      <c r="E205" s="135"/>
      <c r="F205" s="135"/>
      <c r="G205" s="135"/>
      <c r="H205" s="135"/>
      <c r="I205" s="135"/>
      <c r="J205" s="37"/>
    </row>
    <row r="206" spans="1:10">
      <c r="A206" s="134"/>
      <c r="E206" s="135"/>
      <c r="F206" s="135"/>
      <c r="G206" s="135"/>
      <c r="H206" s="135"/>
      <c r="I206" s="135"/>
      <c r="J206" s="37"/>
    </row>
    <row r="207" spans="1:10">
      <c r="A207" s="134"/>
      <c r="E207" s="135"/>
      <c r="F207" s="135"/>
      <c r="G207" s="135"/>
      <c r="H207" s="135"/>
      <c r="I207" s="135"/>
      <c r="J207" s="37"/>
    </row>
    <row r="208" spans="1:10">
      <c r="A208" s="134"/>
      <c r="E208" s="135"/>
      <c r="F208" s="135"/>
      <c r="G208" s="135"/>
      <c r="H208" s="135"/>
      <c r="I208" s="135"/>
      <c r="J208" s="37"/>
    </row>
    <row r="209" spans="1:10">
      <c r="A209" s="134"/>
      <c r="E209" s="135"/>
      <c r="F209" s="135"/>
      <c r="G209" s="135"/>
      <c r="H209" s="135"/>
      <c r="I209" s="135"/>
      <c r="J209" s="37"/>
    </row>
    <row r="210" spans="1:10">
      <c r="A210" s="134"/>
      <c r="E210" s="135"/>
      <c r="F210" s="135"/>
      <c r="G210" s="135"/>
      <c r="H210" s="135"/>
      <c r="I210" s="135"/>
      <c r="J210" s="37"/>
    </row>
    <row r="211" spans="1:10">
      <c r="A211" s="134"/>
      <c r="E211" s="135"/>
      <c r="F211" s="135"/>
      <c r="G211" s="135"/>
      <c r="H211" s="135"/>
      <c r="I211" s="135"/>
      <c r="J211" s="37"/>
    </row>
    <row r="212" spans="1:10">
      <c r="A212" s="134"/>
      <c r="E212" s="135"/>
      <c r="F212" s="135"/>
      <c r="G212" s="135"/>
      <c r="H212" s="135"/>
      <c r="I212" s="135"/>
      <c r="J212" s="37"/>
    </row>
    <row r="213" spans="1:10">
      <c r="A213" s="134"/>
      <c r="E213" s="135"/>
      <c r="F213" s="135"/>
      <c r="G213" s="135"/>
      <c r="H213" s="135"/>
      <c r="I213" s="135"/>
      <c r="J213" s="37"/>
    </row>
    <row r="214" spans="1:10">
      <c r="A214" s="134"/>
      <c r="E214" s="135"/>
      <c r="F214" s="135"/>
      <c r="G214" s="135"/>
      <c r="H214" s="135"/>
      <c r="I214" s="135"/>
      <c r="J214" s="37"/>
    </row>
    <row r="215" spans="1:10">
      <c r="A215" s="134"/>
      <c r="E215" s="135"/>
      <c r="F215" s="135"/>
      <c r="G215" s="135"/>
      <c r="H215" s="135"/>
      <c r="I215" s="135"/>
      <c r="J215" s="37"/>
    </row>
    <row r="216" spans="1:10">
      <c r="A216" s="134"/>
      <c r="E216" s="135"/>
      <c r="F216" s="135"/>
      <c r="G216" s="135"/>
      <c r="H216" s="135"/>
      <c r="I216" s="135"/>
      <c r="J216" s="37"/>
    </row>
    <row r="217" spans="1:10">
      <c r="A217" s="134"/>
      <c r="E217" s="135"/>
      <c r="F217" s="135"/>
      <c r="G217" s="135"/>
      <c r="H217" s="135"/>
      <c r="I217" s="135"/>
      <c r="J217" s="37"/>
    </row>
    <row r="218" spans="1:10">
      <c r="A218" s="134"/>
      <c r="E218" s="135"/>
      <c r="F218" s="135"/>
      <c r="G218" s="135"/>
      <c r="H218" s="135"/>
      <c r="I218" s="135"/>
      <c r="J218" s="37"/>
    </row>
    <row r="219" spans="1:10">
      <c r="A219" s="134"/>
      <c r="E219" s="135"/>
      <c r="F219" s="135"/>
      <c r="G219" s="135"/>
      <c r="H219" s="135"/>
      <c r="I219" s="135"/>
      <c r="J219" s="37"/>
    </row>
    <row r="220" spans="1:10">
      <c r="A220" s="134"/>
      <c r="E220" s="135"/>
      <c r="F220" s="135"/>
      <c r="G220" s="135"/>
      <c r="H220" s="135"/>
      <c r="I220" s="135"/>
      <c r="J220" s="37"/>
    </row>
    <row r="221" spans="1:10">
      <c r="A221" s="134"/>
      <c r="E221" s="135"/>
      <c r="F221" s="135"/>
      <c r="G221" s="135"/>
      <c r="H221" s="135"/>
      <c r="I221" s="135"/>
      <c r="J221" s="37"/>
    </row>
    <row r="222" spans="1:10">
      <c r="A222" s="134"/>
      <c r="E222" s="135"/>
      <c r="F222" s="135"/>
      <c r="G222" s="135"/>
      <c r="H222" s="135"/>
      <c r="I222" s="135"/>
      <c r="J222" s="37"/>
    </row>
    <row r="223" spans="1:10">
      <c r="A223" s="134"/>
      <c r="E223" s="135"/>
      <c r="F223" s="135"/>
      <c r="G223" s="135"/>
      <c r="H223" s="135"/>
      <c r="I223" s="135"/>
      <c r="J223" s="37"/>
    </row>
    <row r="224" spans="1:10">
      <c r="A224" s="134"/>
      <c r="E224" s="135"/>
      <c r="F224" s="135"/>
      <c r="G224" s="135"/>
      <c r="H224" s="135"/>
      <c r="I224" s="135"/>
      <c r="J224" s="37"/>
    </row>
    <row r="225" spans="1:10">
      <c r="A225" s="134"/>
      <c r="E225" s="135"/>
      <c r="F225" s="135"/>
      <c r="G225" s="135"/>
      <c r="H225" s="135"/>
      <c r="I225" s="135"/>
      <c r="J225" s="37"/>
    </row>
    <row r="226" spans="1:10">
      <c r="A226" s="134"/>
      <c r="E226" s="135"/>
      <c r="F226" s="135"/>
      <c r="G226" s="135"/>
      <c r="H226" s="135"/>
      <c r="I226" s="135"/>
      <c r="J226" s="40"/>
    </row>
    <row r="227" spans="1:10">
      <c r="A227" s="134"/>
      <c r="E227" s="135"/>
      <c r="F227" s="135"/>
      <c r="G227" s="135"/>
      <c r="H227" s="135"/>
      <c r="I227" s="135"/>
      <c r="J227" s="37"/>
    </row>
    <row r="228" spans="1:10">
      <c r="A228" s="134"/>
      <c r="E228" s="135"/>
      <c r="F228" s="135"/>
      <c r="G228" s="135"/>
      <c r="H228" s="135"/>
      <c r="I228" s="135"/>
      <c r="J228" s="37"/>
    </row>
    <row r="229" spans="1:10">
      <c r="A229" s="134"/>
      <c r="E229" s="135"/>
      <c r="F229" s="135"/>
      <c r="G229" s="135"/>
      <c r="H229" s="135"/>
      <c r="I229" s="135"/>
      <c r="J229" s="37"/>
    </row>
    <row r="230" spans="1:10">
      <c r="A230" s="134"/>
      <c r="E230" s="135"/>
      <c r="F230" s="135"/>
      <c r="G230" s="135"/>
      <c r="H230" s="135"/>
      <c r="I230" s="135"/>
      <c r="J230" s="37"/>
    </row>
    <row r="231" spans="1:10">
      <c r="A231" s="134"/>
      <c r="E231" s="135"/>
      <c r="F231" s="135"/>
      <c r="G231" s="135"/>
      <c r="H231" s="135"/>
      <c r="I231" s="135"/>
      <c r="J231" s="37"/>
    </row>
    <row r="232" spans="1:10">
      <c r="A232" s="134"/>
      <c r="E232" s="135"/>
      <c r="F232" s="135"/>
      <c r="G232" s="135"/>
      <c r="H232" s="135"/>
      <c r="I232" s="135"/>
      <c r="J232" s="37"/>
    </row>
    <row r="233" spans="1:10">
      <c r="A233" s="134"/>
      <c r="E233" s="135"/>
      <c r="F233" s="135"/>
      <c r="G233" s="135"/>
      <c r="H233" s="135"/>
      <c r="I233" s="135"/>
      <c r="J233" s="37"/>
    </row>
    <row r="234" spans="1:10">
      <c r="A234" s="134"/>
      <c r="E234" s="135"/>
      <c r="F234" s="135"/>
      <c r="G234" s="135"/>
      <c r="H234" s="135"/>
      <c r="I234" s="135"/>
      <c r="J234" s="37"/>
    </row>
    <row r="235" spans="1:10">
      <c r="A235" s="134"/>
      <c r="E235" s="135"/>
      <c r="F235" s="135"/>
      <c r="G235" s="135"/>
      <c r="H235" s="135"/>
      <c r="I235" s="135"/>
      <c r="J235" s="37"/>
    </row>
    <row r="236" spans="1:10">
      <c r="A236" s="134"/>
      <c r="E236" s="135"/>
      <c r="F236" s="135"/>
      <c r="G236" s="135"/>
      <c r="H236" s="135"/>
      <c r="I236" s="135"/>
      <c r="J236" s="37"/>
    </row>
    <row r="237" spans="1:10">
      <c r="A237" s="134"/>
      <c r="E237" s="135"/>
      <c r="F237" s="135"/>
      <c r="G237" s="135"/>
      <c r="H237" s="135"/>
      <c r="I237" s="135"/>
      <c r="J237" s="40"/>
    </row>
    <row r="238" spans="1:10">
      <c r="A238" s="134"/>
      <c r="E238" s="135"/>
      <c r="F238" s="135"/>
      <c r="G238" s="135"/>
      <c r="H238" s="135"/>
      <c r="I238" s="135"/>
      <c r="J238" s="37"/>
    </row>
    <row r="239" spans="1:10">
      <c r="A239" s="134"/>
      <c r="E239" s="135"/>
      <c r="F239" s="135"/>
      <c r="G239" s="135"/>
      <c r="H239" s="135"/>
      <c r="I239" s="135"/>
      <c r="J239" s="37"/>
    </row>
    <row r="240" spans="1:10">
      <c r="A240" s="134"/>
      <c r="E240" s="135"/>
      <c r="F240" s="135"/>
      <c r="G240" s="135"/>
      <c r="H240" s="135"/>
      <c r="I240" s="135"/>
      <c r="J240" s="37"/>
    </row>
    <row r="241" spans="1:10">
      <c r="A241" s="134"/>
      <c r="E241" s="135"/>
      <c r="F241" s="135"/>
      <c r="G241" s="135"/>
      <c r="H241" s="135"/>
      <c r="I241" s="135"/>
      <c r="J241" s="37"/>
    </row>
    <row r="242" spans="1:10">
      <c r="A242" s="134"/>
      <c r="E242" s="135"/>
      <c r="F242" s="135"/>
      <c r="G242" s="135"/>
      <c r="H242" s="135"/>
      <c r="I242" s="135"/>
      <c r="J242" s="37"/>
    </row>
    <row r="243" spans="1:10">
      <c r="A243" s="134"/>
      <c r="E243" s="135"/>
      <c r="F243" s="135"/>
      <c r="G243" s="135"/>
      <c r="H243" s="135"/>
      <c r="I243" s="135"/>
      <c r="J243" s="37"/>
    </row>
    <row r="244" spans="1:10">
      <c r="A244" s="134"/>
      <c r="E244" s="135"/>
      <c r="F244" s="135"/>
      <c r="G244" s="135"/>
      <c r="H244" s="135"/>
      <c r="I244" s="135"/>
      <c r="J244" s="40"/>
    </row>
    <row r="245" spans="1:10">
      <c r="A245" s="134"/>
      <c r="E245" s="135"/>
      <c r="F245" s="135"/>
      <c r="G245" s="135"/>
      <c r="H245" s="135"/>
      <c r="I245" s="135"/>
      <c r="J245" s="37"/>
    </row>
    <row r="246" spans="1:10">
      <c r="A246" s="134"/>
      <c r="E246" s="135"/>
      <c r="F246" s="135"/>
      <c r="G246" s="135"/>
      <c r="H246" s="135"/>
      <c r="I246" s="135"/>
      <c r="J246" s="37"/>
    </row>
    <row r="247" spans="1:10">
      <c r="A247" s="134"/>
      <c r="E247" s="135"/>
      <c r="F247" s="135"/>
      <c r="G247" s="135"/>
      <c r="H247" s="135"/>
      <c r="I247" s="135"/>
      <c r="J247" s="37"/>
    </row>
    <row r="248" spans="1:10">
      <c r="A248" s="134"/>
      <c r="E248" s="135"/>
      <c r="F248" s="135"/>
      <c r="G248" s="135"/>
      <c r="H248" s="135"/>
      <c r="I248" s="135"/>
      <c r="J248" s="37"/>
    </row>
    <row r="249" spans="1:10">
      <c r="A249" s="134"/>
      <c r="E249" s="135"/>
      <c r="F249" s="135"/>
      <c r="G249" s="135"/>
      <c r="H249" s="135"/>
      <c r="I249" s="135"/>
      <c r="J249" s="37"/>
    </row>
    <row r="250" spans="1:10">
      <c r="A250" s="134"/>
      <c r="E250" s="135"/>
      <c r="F250" s="135"/>
      <c r="G250" s="135"/>
      <c r="H250" s="135"/>
      <c r="I250" s="135"/>
      <c r="J250" s="37"/>
    </row>
    <row r="251" spans="1:10">
      <c r="A251" s="134"/>
      <c r="E251" s="135"/>
      <c r="F251" s="135"/>
      <c r="G251" s="135"/>
      <c r="H251" s="135"/>
      <c r="I251" s="135"/>
      <c r="J251" s="37"/>
    </row>
    <row r="252" spans="1:10">
      <c r="A252" s="134"/>
      <c r="E252" s="135"/>
      <c r="F252" s="135"/>
      <c r="G252" s="135"/>
      <c r="H252" s="135"/>
      <c r="I252" s="135"/>
      <c r="J252" s="37"/>
    </row>
    <row r="253" spans="1:10">
      <c r="A253" s="134"/>
      <c r="E253" s="135"/>
      <c r="F253" s="135"/>
      <c r="G253" s="135"/>
      <c r="H253" s="135"/>
      <c r="I253" s="135"/>
      <c r="J253" s="37"/>
    </row>
    <row r="254" spans="1:10">
      <c r="A254" s="134"/>
      <c r="E254" s="135"/>
      <c r="F254" s="135"/>
      <c r="G254" s="135"/>
      <c r="H254" s="135"/>
      <c r="I254" s="135"/>
      <c r="J254" s="37"/>
    </row>
    <row r="255" spans="1:10">
      <c r="A255" s="134"/>
      <c r="E255" s="135"/>
      <c r="F255" s="135"/>
      <c r="G255" s="135"/>
      <c r="H255" s="135"/>
      <c r="I255" s="135"/>
      <c r="J255" s="37"/>
    </row>
    <row r="256" spans="1:10">
      <c r="A256" s="134"/>
      <c r="E256" s="135"/>
      <c r="F256" s="135"/>
      <c r="G256" s="135"/>
      <c r="H256" s="135"/>
      <c r="I256" s="135"/>
      <c r="J256" s="37"/>
    </row>
    <row r="257" spans="1:10">
      <c r="A257" s="134"/>
      <c r="E257" s="135"/>
      <c r="F257" s="135"/>
      <c r="G257" s="135"/>
      <c r="H257" s="135"/>
      <c r="I257" s="135"/>
      <c r="J257" s="37"/>
    </row>
    <row r="258" spans="1:10">
      <c r="A258" s="134"/>
      <c r="E258" s="135"/>
      <c r="F258" s="135"/>
      <c r="G258" s="135"/>
      <c r="H258" s="135"/>
      <c r="I258" s="135"/>
      <c r="J258" s="37"/>
    </row>
    <row r="259" spans="1:10">
      <c r="A259" s="134"/>
      <c r="E259" s="135"/>
      <c r="F259" s="135"/>
      <c r="G259" s="135"/>
      <c r="H259" s="135"/>
      <c r="I259" s="135"/>
      <c r="J259" s="37"/>
    </row>
    <row r="260" spans="1:10">
      <c r="A260" s="134"/>
      <c r="E260" s="135"/>
      <c r="F260" s="135"/>
      <c r="G260" s="135"/>
      <c r="H260" s="135"/>
      <c r="I260" s="135"/>
      <c r="J260" s="37"/>
    </row>
    <row r="261" spans="1:10">
      <c r="A261" s="134"/>
      <c r="E261" s="135"/>
      <c r="F261" s="135"/>
      <c r="G261" s="135"/>
      <c r="H261" s="135"/>
      <c r="I261" s="135"/>
      <c r="J261" s="37"/>
    </row>
    <row r="262" spans="1:10">
      <c r="A262" s="134"/>
      <c r="E262" s="135"/>
      <c r="F262" s="135"/>
      <c r="G262" s="135"/>
      <c r="H262" s="135"/>
      <c r="I262" s="135"/>
      <c r="J262" s="37"/>
    </row>
    <row r="263" spans="1:10">
      <c r="A263" s="134"/>
      <c r="E263" s="135"/>
      <c r="F263" s="135"/>
      <c r="G263" s="135"/>
      <c r="H263" s="135"/>
      <c r="I263" s="135"/>
      <c r="J263" s="37"/>
    </row>
    <row r="264" spans="1:10">
      <c r="A264" s="134"/>
      <c r="E264" s="135"/>
      <c r="F264" s="135"/>
      <c r="G264" s="135"/>
      <c r="H264" s="135"/>
      <c r="I264" s="135"/>
      <c r="J264" s="37"/>
    </row>
    <row r="265" spans="1:10">
      <c r="A265" s="134"/>
      <c r="E265" s="135"/>
      <c r="F265" s="135"/>
      <c r="G265" s="135"/>
      <c r="H265" s="135"/>
      <c r="I265" s="135"/>
      <c r="J265" s="37"/>
    </row>
    <row r="266" spans="1:10">
      <c r="A266" s="134"/>
      <c r="E266" s="135"/>
      <c r="F266" s="135"/>
      <c r="G266" s="135"/>
      <c r="H266" s="135"/>
      <c r="I266" s="135"/>
      <c r="J266" s="37"/>
    </row>
    <row r="267" spans="1:10">
      <c r="A267" s="134"/>
      <c r="E267" s="135"/>
      <c r="F267" s="135"/>
      <c r="G267" s="135"/>
      <c r="H267" s="135"/>
      <c r="I267" s="135"/>
      <c r="J267" s="37"/>
    </row>
    <row r="268" spans="1:10">
      <c r="A268" s="134"/>
      <c r="E268" s="135"/>
      <c r="F268" s="135"/>
      <c r="G268" s="135"/>
      <c r="H268" s="135"/>
      <c r="I268" s="135"/>
      <c r="J268" s="40"/>
    </row>
    <row r="269" spans="1:10">
      <c r="A269" s="134"/>
      <c r="E269" s="135"/>
      <c r="F269" s="135"/>
      <c r="G269" s="135"/>
      <c r="H269" s="135"/>
      <c r="I269" s="135"/>
      <c r="J269" s="37"/>
    </row>
    <row r="270" spans="1:10">
      <c r="A270" s="134"/>
      <c r="E270" s="135"/>
      <c r="F270" s="135"/>
      <c r="G270" s="135"/>
      <c r="H270" s="135"/>
      <c r="I270" s="135"/>
      <c r="J270" s="37"/>
    </row>
    <row r="271" spans="1:10">
      <c r="A271" s="134"/>
      <c r="E271" s="135"/>
      <c r="F271" s="135"/>
      <c r="G271" s="135"/>
      <c r="H271" s="135"/>
      <c r="I271" s="135"/>
      <c r="J271" s="37"/>
    </row>
    <row r="272" spans="1:10">
      <c r="A272" s="134"/>
      <c r="E272" s="135"/>
      <c r="F272" s="135"/>
      <c r="G272" s="135"/>
      <c r="H272" s="135"/>
      <c r="I272" s="135"/>
      <c r="J272" s="37"/>
    </row>
    <row r="273" spans="1:10">
      <c r="A273" s="134"/>
      <c r="E273" s="135"/>
      <c r="F273" s="135"/>
      <c r="G273" s="135"/>
      <c r="H273" s="135"/>
      <c r="I273" s="135"/>
      <c r="J273" s="37"/>
    </row>
    <row r="274" spans="1:10">
      <c r="A274" s="134"/>
      <c r="E274" s="135"/>
      <c r="F274" s="135"/>
      <c r="G274" s="135"/>
      <c r="H274" s="135"/>
      <c r="I274" s="135"/>
      <c r="J274" s="37"/>
    </row>
    <row r="275" spans="1:10">
      <c r="A275" s="134"/>
      <c r="E275" s="135"/>
      <c r="F275" s="135"/>
      <c r="G275" s="135"/>
      <c r="H275" s="135"/>
      <c r="I275" s="135"/>
      <c r="J275" s="37"/>
    </row>
    <row r="276" spans="1:10">
      <c r="A276" s="134"/>
      <c r="E276" s="135"/>
      <c r="F276" s="135"/>
      <c r="G276" s="135"/>
      <c r="H276" s="135"/>
      <c r="I276" s="135"/>
      <c r="J276" s="37"/>
    </row>
    <row r="277" spans="1:10">
      <c r="A277" s="134"/>
      <c r="E277" s="135"/>
      <c r="F277" s="135"/>
      <c r="G277" s="135"/>
      <c r="H277" s="135"/>
      <c r="I277" s="135"/>
      <c r="J277" s="37"/>
    </row>
    <row r="278" spans="1:10">
      <c r="A278" s="134"/>
      <c r="E278" s="135"/>
      <c r="F278" s="135"/>
      <c r="G278" s="135"/>
      <c r="H278" s="135"/>
      <c r="I278" s="135"/>
      <c r="J278" s="37"/>
    </row>
    <row r="279" spans="1:10">
      <c r="A279" s="134"/>
      <c r="E279" s="135"/>
      <c r="F279" s="135"/>
      <c r="G279" s="135"/>
      <c r="H279" s="135"/>
      <c r="I279" s="135"/>
      <c r="J279" s="37"/>
    </row>
    <row r="280" spans="1:10">
      <c r="A280" s="134"/>
      <c r="E280" s="135"/>
      <c r="F280" s="135"/>
      <c r="G280" s="135"/>
      <c r="H280" s="135"/>
      <c r="I280" s="135"/>
      <c r="J280" s="37"/>
    </row>
    <row r="281" spans="1:10">
      <c r="A281" s="134"/>
      <c r="E281" s="135"/>
      <c r="F281" s="135"/>
      <c r="G281" s="135"/>
      <c r="H281" s="135"/>
      <c r="I281" s="135"/>
      <c r="J281" s="37"/>
    </row>
    <row r="282" spans="1:10">
      <c r="A282" s="134"/>
      <c r="E282" s="135"/>
      <c r="F282" s="135"/>
      <c r="G282" s="135"/>
      <c r="H282" s="135"/>
      <c r="I282" s="135"/>
      <c r="J282" s="40"/>
    </row>
    <row r="283" spans="1:10">
      <c r="A283" s="134"/>
      <c r="E283" s="135"/>
      <c r="F283" s="135"/>
      <c r="G283" s="135"/>
      <c r="H283" s="135"/>
      <c r="I283" s="135"/>
      <c r="J283" s="37"/>
    </row>
    <row r="284" spans="1:10">
      <c r="A284" s="134"/>
      <c r="E284" s="135"/>
      <c r="F284" s="135"/>
      <c r="G284" s="135"/>
      <c r="H284" s="135"/>
      <c r="I284" s="135"/>
      <c r="J284" s="40"/>
    </row>
    <row r="285" spans="1:10">
      <c r="A285" s="134"/>
      <c r="E285" s="135"/>
      <c r="F285" s="135"/>
      <c r="G285" s="135"/>
      <c r="H285" s="135"/>
      <c r="I285" s="135"/>
      <c r="J285" s="40"/>
    </row>
    <row r="286" spans="1:10">
      <c r="A286" s="134"/>
      <c r="E286" s="135"/>
      <c r="F286" s="135"/>
      <c r="G286" s="135"/>
      <c r="H286" s="135"/>
      <c r="I286" s="135"/>
      <c r="J286" s="37"/>
    </row>
    <row r="287" spans="1:10">
      <c r="A287" s="134"/>
      <c r="E287" s="135"/>
      <c r="F287" s="135"/>
      <c r="G287" s="135"/>
      <c r="H287" s="135"/>
      <c r="I287" s="135"/>
      <c r="J287" s="37"/>
    </row>
    <row r="288" spans="1:10">
      <c r="A288" s="134"/>
      <c r="E288" s="135"/>
      <c r="F288" s="135"/>
      <c r="G288" s="135"/>
      <c r="H288" s="135"/>
      <c r="I288" s="135"/>
      <c r="J288" s="37"/>
    </row>
    <row r="289" spans="1:10">
      <c r="A289" s="134"/>
      <c r="E289" s="135"/>
      <c r="F289" s="135"/>
      <c r="G289" s="135"/>
      <c r="H289" s="135"/>
      <c r="I289" s="135"/>
      <c r="J289" s="37"/>
    </row>
    <row r="290" spans="1:10">
      <c r="A290" s="134"/>
      <c r="E290" s="135"/>
      <c r="F290" s="135"/>
      <c r="G290" s="135"/>
      <c r="H290" s="135"/>
      <c r="I290" s="135"/>
      <c r="J290" s="37"/>
    </row>
    <row r="291" spans="1:10">
      <c r="A291" s="134"/>
      <c r="E291" s="135"/>
      <c r="F291" s="135"/>
      <c r="G291" s="135"/>
      <c r="H291" s="135"/>
      <c r="I291" s="135"/>
      <c r="J291" s="37"/>
    </row>
    <row r="292" spans="1:10">
      <c r="A292" s="134"/>
      <c r="E292" s="135"/>
      <c r="F292" s="135"/>
      <c r="G292" s="135"/>
      <c r="H292" s="135"/>
      <c r="I292" s="135"/>
      <c r="J292" s="40"/>
    </row>
    <row r="293" spans="1:10">
      <c r="A293" s="134"/>
      <c r="E293" s="135"/>
      <c r="F293" s="135"/>
      <c r="G293" s="135"/>
      <c r="H293" s="135"/>
      <c r="I293" s="135"/>
      <c r="J293" s="37"/>
    </row>
    <row r="294" spans="1:10">
      <c r="A294" s="134"/>
      <c r="E294" s="135"/>
      <c r="F294" s="135"/>
      <c r="G294" s="135"/>
      <c r="H294" s="135"/>
      <c r="I294" s="135"/>
      <c r="J294" s="37"/>
    </row>
    <row r="295" spans="1:10">
      <c r="A295" s="134"/>
      <c r="E295" s="135"/>
      <c r="F295" s="135"/>
      <c r="G295" s="135"/>
      <c r="H295" s="135"/>
      <c r="I295" s="135"/>
      <c r="J295" s="37"/>
    </row>
    <row r="296" spans="1:10">
      <c r="A296" s="134"/>
      <c r="E296" s="135"/>
      <c r="F296" s="135"/>
      <c r="G296" s="135"/>
      <c r="H296" s="135"/>
      <c r="I296" s="135"/>
      <c r="J296" s="40"/>
    </row>
    <row r="297" spans="1:10">
      <c r="A297" s="134"/>
      <c r="E297" s="135"/>
      <c r="F297" s="135"/>
      <c r="G297" s="135"/>
      <c r="H297" s="135"/>
      <c r="I297" s="135"/>
      <c r="J297" s="37"/>
    </row>
    <row r="298" spans="1:10">
      <c r="A298" s="134"/>
      <c r="E298" s="135"/>
      <c r="F298" s="135"/>
      <c r="G298" s="135"/>
      <c r="H298" s="135"/>
      <c r="I298" s="135"/>
      <c r="J298" s="37"/>
    </row>
    <row r="299" spans="1:10">
      <c r="A299" s="134"/>
      <c r="E299" s="135"/>
      <c r="F299" s="135"/>
      <c r="G299" s="135"/>
      <c r="H299" s="135"/>
      <c r="I299" s="135"/>
      <c r="J299" s="37"/>
    </row>
    <row r="300" spans="1:10">
      <c r="A300" s="134"/>
      <c r="E300" s="135"/>
      <c r="F300" s="135"/>
      <c r="G300" s="135"/>
      <c r="H300" s="135"/>
      <c r="I300" s="135"/>
      <c r="J300" s="37"/>
    </row>
    <row r="301" spans="1:10">
      <c r="A301" s="134"/>
      <c r="E301" s="135"/>
      <c r="F301" s="135"/>
      <c r="G301" s="135"/>
      <c r="H301" s="135"/>
      <c r="I301" s="135"/>
      <c r="J301" s="37"/>
    </row>
    <row r="302" spans="1:10">
      <c r="A302" s="134"/>
      <c r="E302" s="135"/>
      <c r="F302" s="135"/>
      <c r="G302" s="135"/>
      <c r="H302" s="135"/>
      <c r="I302" s="135"/>
      <c r="J302" s="37"/>
    </row>
    <row r="303" spans="1:10">
      <c r="A303" s="134"/>
      <c r="E303" s="135"/>
      <c r="F303" s="135"/>
      <c r="G303" s="135"/>
      <c r="H303" s="135"/>
      <c r="I303" s="135"/>
      <c r="J303" s="37"/>
    </row>
    <row r="304" spans="1:10">
      <c r="A304" s="134"/>
      <c r="E304" s="135"/>
      <c r="F304" s="135"/>
      <c r="G304" s="135"/>
      <c r="H304" s="135"/>
      <c r="I304" s="135"/>
      <c r="J304" s="37"/>
    </row>
    <row r="305" spans="1:10">
      <c r="A305" s="134"/>
      <c r="E305" s="135"/>
      <c r="F305" s="135"/>
      <c r="G305" s="135"/>
      <c r="H305" s="135"/>
      <c r="I305" s="135"/>
      <c r="J305" s="37"/>
    </row>
    <row r="306" spans="1:10">
      <c r="A306" s="134"/>
      <c r="E306" s="135"/>
      <c r="F306" s="135"/>
      <c r="G306" s="135"/>
      <c r="H306" s="135"/>
      <c r="I306" s="135"/>
      <c r="J306" s="37"/>
    </row>
    <row r="307" spans="1:10">
      <c r="A307" s="134"/>
      <c r="E307" s="135"/>
      <c r="F307" s="135"/>
      <c r="G307" s="135"/>
      <c r="H307" s="135"/>
      <c r="I307" s="135"/>
      <c r="J307" s="37"/>
    </row>
    <row r="308" spans="1:10">
      <c r="A308" s="134"/>
      <c r="E308" s="135"/>
      <c r="F308" s="135"/>
      <c r="G308" s="135"/>
      <c r="H308" s="135"/>
      <c r="I308" s="135"/>
      <c r="J308" s="37"/>
    </row>
    <row r="309" spans="1:10">
      <c r="A309" s="134"/>
      <c r="E309" s="135"/>
      <c r="F309" s="135"/>
      <c r="G309" s="135"/>
      <c r="H309" s="135"/>
      <c r="I309" s="135"/>
      <c r="J309" s="37"/>
    </row>
    <row r="310" spans="1:10">
      <c r="A310" s="134"/>
      <c r="E310" s="135"/>
      <c r="F310" s="135"/>
      <c r="G310" s="135"/>
      <c r="H310" s="135"/>
      <c r="I310" s="135"/>
      <c r="J310" s="37"/>
    </row>
    <row r="311" spans="1:10">
      <c r="A311" s="134"/>
      <c r="E311" s="135"/>
      <c r="F311" s="135"/>
      <c r="G311" s="135"/>
      <c r="H311" s="135"/>
      <c r="I311" s="135"/>
      <c r="J311" s="37"/>
    </row>
    <row r="312" spans="1:10">
      <c r="A312" s="134"/>
      <c r="E312" s="135"/>
      <c r="F312" s="135"/>
      <c r="G312" s="135"/>
      <c r="H312" s="135"/>
      <c r="I312" s="135"/>
      <c r="J312" s="37"/>
    </row>
    <row r="313" spans="1:10">
      <c r="A313" s="134"/>
      <c r="E313" s="135"/>
      <c r="F313" s="135"/>
      <c r="G313" s="135"/>
      <c r="H313" s="135"/>
      <c r="I313" s="135"/>
      <c r="J313" s="37"/>
    </row>
    <row r="314" spans="1:10">
      <c r="A314" s="134"/>
      <c r="E314" s="135"/>
      <c r="F314" s="135"/>
      <c r="G314" s="135"/>
      <c r="H314" s="135"/>
      <c r="I314" s="135"/>
      <c r="J314" s="37"/>
    </row>
    <row r="315" spans="1:10">
      <c r="A315" s="134"/>
      <c r="E315" s="135"/>
      <c r="F315" s="135"/>
      <c r="G315" s="135"/>
      <c r="H315" s="135"/>
      <c r="I315" s="135"/>
      <c r="J315" s="37"/>
    </row>
    <row r="316" spans="1:10">
      <c r="A316" s="134"/>
      <c r="E316" s="135"/>
      <c r="F316" s="135"/>
      <c r="G316" s="135"/>
      <c r="H316" s="135"/>
      <c r="I316" s="135"/>
      <c r="J316" s="37"/>
    </row>
    <row r="317" spans="1:10">
      <c r="A317" s="134"/>
      <c r="E317" s="135"/>
      <c r="F317" s="135"/>
      <c r="G317" s="135"/>
      <c r="H317" s="135"/>
      <c r="I317" s="135"/>
      <c r="J317" s="37"/>
    </row>
    <row r="318" spans="1:10">
      <c r="A318" s="134"/>
      <c r="E318" s="135"/>
      <c r="F318" s="135"/>
      <c r="G318" s="135"/>
      <c r="H318" s="135"/>
      <c r="I318" s="135"/>
      <c r="J318" s="37"/>
    </row>
    <row r="319" spans="1:10">
      <c r="A319" s="134"/>
      <c r="E319" s="135"/>
      <c r="F319" s="135"/>
      <c r="G319" s="135"/>
      <c r="H319" s="135"/>
      <c r="I319" s="135"/>
      <c r="J319" s="37"/>
    </row>
    <row r="320" spans="1:10">
      <c r="A320" s="134"/>
      <c r="E320" s="135"/>
      <c r="F320" s="135"/>
      <c r="G320" s="135"/>
      <c r="H320" s="135"/>
      <c r="I320" s="135"/>
      <c r="J320" s="37"/>
    </row>
    <row r="321" spans="1:10">
      <c r="A321" s="134"/>
      <c r="E321" s="135"/>
      <c r="F321" s="135"/>
      <c r="G321" s="135"/>
      <c r="H321" s="135"/>
      <c r="I321" s="135"/>
      <c r="J321" s="37"/>
    </row>
    <row r="322" spans="1:10">
      <c r="A322" s="134"/>
      <c r="E322" s="135"/>
      <c r="F322" s="135"/>
      <c r="G322" s="135"/>
      <c r="H322" s="135"/>
      <c r="I322" s="135"/>
      <c r="J322" s="37"/>
    </row>
    <row r="323" spans="1:10">
      <c r="A323" s="134"/>
      <c r="E323" s="135"/>
      <c r="F323" s="135"/>
      <c r="G323" s="135"/>
      <c r="H323" s="135"/>
      <c r="I323" s="135"/>
      <c r="J323" s="37"/>
    </row>
    <row r="324" spans="1:10">
      <c r="A324" s="134"/>
      <c r="E324" s="135"/>
      <c r="F324" s="135"/>
      <c r="G324" s="135"/>
      <c r="H324" s="135"/>
      <c r="I324" s="135"/>
      <c r="J324" s="37"/>
    </row>
    <row r="325" spans="1:10">
      <c r="A325" s="134"/>
      <c r="E325" s="135"/>
      <c r="F325" s="135"/>
      <c r="G325" s="135"/>
      <c r="H325" s="135"/>
      <c r="I325" s="135"/>
      <c r="J325" s="37"/>
    </row>
    <row r="326" spans="1:10">
      <c r="A326" s="134"/>
      <c r="E326" s="135"/>
      <c r="F326" s="135"/>
      <c r="G326" s="135"/>
      <c r="H326" s="135"/>
      <c r="I326" s="135"/>
      <c r="J326" s="40"/>
    </row>
    <row r="327" spans="1:10">
      <c r="A327" s="134"/>
      <c r="E327" s="135"/>
      <c r="F327" s="135"/>
      <c r="G327" s="135"/>
      <c r="H327" s="135"/>
      <c r="I327" s="135"/>
      <c r="J327" s="37"/>
    </row>
    <row r="328" spans="1:10">
      <c r="A328" s="134"/>
      <c r="E328" s="135"/>
      <c r="F328" s="135"/>
      <c r="G328" s="135"/>
      <c r="H328" s="135"/>
      <c r="I328" s="135"/>
      <c r="J328" s="37"/>
    </row>
    <row r="329" spans="1:10">
      <c r="A329" s="134"/>
      <c r="E329" s="135"/>
      <c r="F329" s="135"/>
      <c r="G329" s="135"/>
      <c r="H329" s="135"/>
      <c r="I329" s="135"/>
      <c r="J329" s="37"/>
    </row>
    <row r="330" spans="1:10">
      <c r="A330" s="134"/>
      <c r="E330" s="135"/>
      <c r="F330" s="135"/>
      <c r="G330" s="135"/>
      <c r="H330" s="135"/>
      <c r="I330" s="135"/>
      <c r="J330" s="37"/>
    </row>
    <row r="331" spans="1:10">
      <c r="A331" s="134"/>
      <c r="E331" s="135"/>
      <c r="F331" s="135"/>
      <c r="G331" s="135"/>
      <c r="H331" s="135"/>
      <c r="I331" s="135"/>
      <c r="J331" s="37"/>
    </row>
    <row r="332" spans="1:10">
      <c r="A332" s="134"/>
      <c r="E332" s="135"/>
      <c r="F332" s="135"/>
      <c r="G332" s="135"/>
      <c r="H332" s="135"/>
      <c r="I332" s="135"/>
      <c r="J332" s="37"/>
    </row>
    <row r="333" spans="1:10">
      <c r="A333" s="134"/>
      <c r="E333" s="135"/>
      <c r="F333" s="135"/>
      <c r="G333" s="135"/>
      <c r="H333" s="135"/>
      <c r="I333" s="135"/>
      <c r="J333" s="37"/>
    </row>
    <row r="334" spans="1:10">
      <c r="A334" s="134"/>
      <c r="E334" s="135"/>
      <c r="F334" s="135"/>
      <c r="G334" s="135"/>
      <c r="H334" s="135"/>
      <c r="I334" s="135"/>
      <c r="J334" s="40"/>
    </row>
    <row r="335" spans="1:10">
      <c r="A335" s="134"/>
      <c r="E335" s="135"/>
      <c r="F335" s="135"/>
      <c r="G335" s="135"/>
      <c r="H335" s="135"/>
      <c r="I335" s="135"/>
      <c r="J335" s="37"/>
    </row>
    <row r="336" spans="1:10">
      <c r="A336" s="134"/>
      <c r="E336" s="135"/>
      <c r="F336" s="135"/>
      <c r="G336" s="135"/>
      <c r="H336" s="135"/>
      <c r="I336" s="135"/>
      <c r="J336" s="37"/>
    </row>
    <row r="337" spans="1:10">
      <c r="A337" s="134"/>
      <c r="E337" s="135"/>
      <c r="F337" s="135"/>
      <c r="G337" s="135"/>
      <c r="H337" s="135"/>
      <c r="I337" s="135"/>
      <c r="J337" s="40"/>
    </row>
    <row r="338" spans="1:10">
      <c r="A338" s="134"/>
      <c r="E338" s="135"/>
      <c r="F338" s="135"/>
      <c r="G338" s="135"/>
      <c r="H338" s="135"/>
      <c r="I338" s="135"/>
      <c r="J338" s="37"/>
    </row>
    <row r="339" spans="1:10">
      <c r="A339" s="134"/>
      <c r="E339" s="135"/>
      <c r="F339" s="135"/>
      <c r="G339" s="135"/>
      <c r="H339" s="135"/>
      <c r="I339" s="135"/>
      <c r="J339" s="37"/>
    </row>
    <row r="340" spans="1:10">
      <c r="A340" s="134"/>
      <c r="E340" s="135"/>
      <c r="F340" s="135"/>
      <c r="G340" s="135"/>
      <c r="H340" s="135"/>
      <c r="I340" s="135"/>
      <c r="J340" s="37"/>
    </row>
    <row r="341" spans="1:10">
      <c r="A341" s="134"/>
      <c r="E341" s="135"/>
      <c r="F341" s="135"/>
      <c r="G341" s="135"/>
      <c r="H341" s="135"/>
      <c r="I341" s="135"/>
      <c r="J341" s="37"/>
    </row>
    <row r="342" spans="1:10">
      <c r="A342" s="134"/>
      <c r="E342" s="135"/>
      <c r="F342" s="135"/>
      <c r="G342" s="135"/>
      <c r="H342" s="135"/>
      <c r="I342" s="135"/>
      <c r="J342" s="37"/>
    </row>
    <row r="343" spans="1:10">
      <c r="A343" s="134"/>
      <c r="E343" s="135"/>
      <c r="F343" s="135"/>
      <c r="G343" s="135"/>
      <c r="H343" s="135"/>
      <c r="I343" s="135"/>
      <c r="J343" s="37"/>
    </row>
    <row r="344" spans="1:10">
      <c r="A344" s="134"/>
      <c r="E344" s="135"/>
      <c r="F344" s="135"/>
      <c r="G344" s="135"/>
      <c r="H344" s="135"/>
      <c r="I344" s="135"/>
      <c r="J344" s="40"/>
    </row>
    <row r="345" spans="1:10">
      <c r="A345" s="134"/>
      <c r="E345" s="135"/>
      <c r="F345" s="135"/>
      <c r="G345" s="135"/>
      <c r="H345" s="135"/>
      <c r="I345" s="135"/>
      <c r="J345" s="37"/>
    </row>
    <row r="346" spans="1:10">
      <c r="A346" s="134"/>
      <c r="E346" s="135"/>
      <c r="F346" s="135"/>
      <c r="G346" s="135"/>
      <c r="H346" s="135"/>
      <c r="I346" s="135"/>
      <c r="J346" s="37"/>
    </row>
    <row r="347" spans="1:10">
      <c r="A347" s="134"/>
      <c r="E347" s="135"/>
      <c r="F347" s="135"/>
      <c r="G347" s="135"/>
      <c r="H347" s="135"/>
      <c r="I347" s="135"/>
      <c r="J347" s="37"/>
    </row>
    <row r="348" spans="1:10">
      <c r="A348" s="134"/>
      <c r="E348" s="135"/>
      <c r="F348" s="135"/>
      <c r="G348" s="135"/>
      <c r="H348" s="135"/>
      <c r="I348" s="135"/>
      <c r="J348" s="37"/>
    </row>
    <row r="349" spans="1:10">
      <c r="A349" s="134"/>
      <c r="E349" s="135"/>
      <c r="F349" s="135"/>
      <c r="G349" s="135"/>
      <c r="H349" s="135"/>
      <c r="I349" s="135"/>
      <c r="J349" s="37"/>
    </row>
    <row r="350" spans="1:10">
      <c r="A350" s="134"/>
      <c r="E350" s="135"/>
      <c r="F350" s="135"/>
      <c r="G350" s="135"/>
      <c r="H350" s="135"/>
      <c r="I350" s="135"/>
      <c r="J350" s="37"/>
    </row>
    <row r="351" spans="1:10">
      <c r="A351" s="134"/>
      <c r="E351" s="135"/>
      <c r="F351" s="135"/>
      <c r="G351" s="135"/>
      <c r="H351" s="135"/>
      <c r="I351" s="135"/>
      <c r="J351" s="40"/>
    </row>
    <row r="352" spans="1:10">
      <c r="A352" s="134"/>
      <c r="E352" s="135"/>
      <c r="F352" s="135"/>
      <c r="G352" s="135"/>
      <c r="H352" s="135"/>
      <c r="I352" s="135"/>
      <c r="J352" s="37"/>
    </row>
    <row r="353" spans="1:10">
      <c r="A353" s="134"/>
      <c r="E353" s="135"/>
      <c r="F353" s="135"/>
      <c r="G353" s="135"/>
      <c r="H353" s="135"/>
      <c r="I353" s="135"/>
      <c r="J353" s="37"/>
    </row>
    <row r="354" spans="1:10">
      <c r="A354" s="134"/>
      <c r="E354" s="135"/>
      <c r="F354" s="135"/>
      <c r="G354" s="135"/>
      <c r="H354" s="135"/>
      <c r="I354" s="135"/>
      <c r="J354" s="37"/>
    </row>
    <row r="355" spans="1:10">
      <c r="A355" s="134"/>
      <c r="E355" s="135"/>
      <c r="F355" s="135"/>
      <c r="G355" s="135"/>
      <c r="H355" s="135"/>
      <c r="I355" s="135"/>
      <c r="J355" s="37"/>
    </row>
    <row r="356" spans="1:10">
      <c r="A356" s="134"/>
      <c r="E356" s="135"/>
      <c r="F356" s="135"/>
      <c r="G356" s="135"/>
      <c r="H356" s="135"/>
      <c r="I356" s="135"/>
      <c r="J356" s="37"/>
    </row>
    <row r="357" spans="1:10">
      <c r="A357" s="134"/>
      <c r="E357" s="135"/>
      <c r="F357" s="135"/>
      <c r="G357" s="135"/>
      <c r="H357" s="135"/>
      <c r="I357" s="135"/>
      <c r="J357" s="37"/>
    </row>
    <row r="358" spans="1:10">
      <c r="A358" s="134"/>
      <c r="E358" s="135"/>
      <c r="F358" s="135"/>
      <c r="G358" s="135"/>
      <c r="H358" s="135"/>
      <c r="I358" s="135"/>
      <c r="J358" s="37"/>
    </row>
    <row r="359" spans="1:10">
      <c r="A359" s="134"/>
      <c r="E359" s="135"/>
      <c r="F359" s="135"/>
      <c r="G359" s="135"/>
      <c r="H359" s="135"/>
      <c r="I359" s="135"/>
      <c r="J359" s="37"/>
    </row>
    <row r="360" spans="1:10">
      <c r="A360" s="134"/>
      <c r="E360" s="135"/>
      <c r="F360" s="135"/>
      <c r="G360" s="135"/>
      <c r="H360" s="135"/>
      <c r="I360" s="135"/>
      <c r="J360" s="37"/>
    </row>
    <row r="361" spans="1:10">
      <c r="A361" s="134"/>
      <c r="E361" s="135"/>
      <c r="F361" s="135"/>
      <c r="G361" s="135"/>
      <c r="H361" s="135"/>
      <c r="I361" s="135"/>
      <c r="J361" s="37"/>
    </row>
    <row r="362" spans="1:10">
      <c r="A362" s="134"/>
      <c r="E362" s="135"/>
      <c r="F362" s="135"/>
      <c r="G362" s="135"/>
      <c r="H362" s="135"/>
      <c r="I362" s="135"/>
      <c r="J362" s="37"/>
    </row>
    <row r="363" spans="1:10">
      <c r="A363" s="134"/>
      <c r="E363" s="135"/>
      <c r="F363" s="135"/>
      <c r="G363" s="135"/>
      <c r="H363" s="135"/>
      <c r="I363" s="135"/>
      <c r="J363" s="37"/>
    </row>
    <row r="364" spans="1:10">
      <c r="A364" s="134"/>
      <c r="E364" s="135"/>
      <c r="F364" s="135"/>
      <c r="G364" s="135"/>
      <c r="H364" s="135"/>
      <c r="I364" s="135"/>
      <c r="J364" s="37"/>
    </row>
    <row r="365" spans="1:10">
      <c r="A365" s="134"/>
      <c r="E365" s="135"/>
      <c r="F365" s="135"/>
      <c r="G365" s="135"/>
      <c r="H365" s="135"/>
      <c r="I365" s="135"/>
      <c r="J365" s="37"/>
    </row>
    <row r="366" spans="1:10">
      <c r="A366" s="134"/>
      <c r="E366" s="135"/>
      <c r="F366" s="135"/>
      <c r="G366" s="135"/>
      <c r="H366" s="135"/>
      <c r="I366" s="135"/>
      <c r="J366" s="37"/>
    </row>
    <row r="367" spans="1:10">
      <c r="A367" s="134"/>
      <c r="E367" s="135"/>
      <c r="F367" s="135"/>
      <c r="G367" s="135"/>
      <c r="H367" s="135"/>
      <c r="I367" s="135"/>
      <c r="J367" s="37"/>
    </row>
    <row r="368" spans="1:10">
      <c r="A368" s="134"/>
      <c r="E368" s="135"/>
      <c r="F368" s="135"/>
      <c r="G368" s="135"/>
      <c r="H368" s="135"/>
      <c r="I368" s="135"/>
      <c r="J368" s="37"/>
    </row>
    <row r="369" spans="1:10">
      <c r="A369" s="134"/>
      <c r="E369" s="135"/>
      <c r="F369" s="135"/>
      <c r="G369" s="135"/>
      <c r="H369" s="135"/>
      <c r="I369" s="135"/>
      <c r="J369" s="37"/>
    </row>
    <row r="370" spans="1:10">
      <c r="A370" s="134"/>
      <c r="E370" s="135"/>
      <c r="F370" s="135"/>
      <c r="G370" s="135"/>
      <c r="H370" s="135"/>
      <c r="I370" s="135"/>
      <c r="J370" s="37"/>
    </row>
    <row r="371" spans="1:10">
      <c r="A371" s="134"/>
      <c r="E371" s="135"/>
      <c r="F371" s="135"/>
      <c r="G371" s="135"/>
      <c r="H371" s="135"/>
      <c r="I371" s="135"/>
      <c r="J371" s="37"/>
    </row>
    <row r="372" spans="1:10">
      <c r="A372" s="134"/>
      <c r="E372" s="135"/>
      <c r="F372" s="135"/>
      <c r="G372" s="135"/>
      <c r="H372" s="135"/>
      <c r="I372" s="135"/>
      <c r="J372" s="37"/>
    </row>
    <row r="373" spans="1:10">
      <c r="A373" s="134"/>
      <c r="E373" s="135"/>
      <c r="F373" s="135"/>
      <c r="G373" s="135"/>
      <c r="H373" s="135"/>
      <c r="I373" s="135"/>
      <c r="J373" s="37"/>
    </row>
    <row r="374" spans="1:10">
      <c r="A374" s="134"/>
      <c r="E374" s="135"/>
      <c r="F374" s="135"/>
      <c r="G374" s="135"/>
      <c r="H374" s="135"/>
      <c r="I374" s="135"/>
      <c r="J374" s="37"/>
    </row>
    <row r="375" spans="1:10">
      <c r="A375" s="134"/>
      <c r="E375" s="135"/>
      <c r="F375" s="135"/>
      <c r="G375" s="135"/>
      <c r="H375" s="135"/>
      <c r="I375" s="135"/>
      <c r="J375" s="37"/>
    </row>
    <row r="376" spans="1:10">
      <c r="A376" s="134"/>
      <c r="E376" s="135"/>
      <c r="F376" s="135"/>
      <c r="G376" s="135"/>
      <c r="H376" s="135"/>
      <c r="I376" s="135"/>
      <c r="J376" s="37"/>
    </row>
    <row r="377" spans="1:10">
      <c r="A377" s="134"/>
      <c r="E377" s="135"/>
      <c r="F377" s="135"/>
      <c r="G377" s="135"/>
      <c r="H377" s="135"/>
      <c r="I377" s="135"/>
      <c r="J377" s="37"/>
    </row>
    <row r="378" spans="1:10">
      <c r="A378" s="134"/>
      <c r="E378" s="135"/>
      <c r="F378" s="135"/>
      <c r="G378" s="135"/>
      <c r="H378" s="135"/>
      <c r="I378" s="135"/>
      <c r="J378" s="37"/>
    </row>
    <row r="379" spans="1:10">
      <c r="A379" s="134"/>
      <c r="E379" s="135"/>
      <c r="F379" s="135"/>
      <c r="G379" s="135"/>
      <c r="H379" s="135"/>
      <c r="I379" s="135"/>
      <c r="J379" s="37"/>
    </row>
    <row r="380" spans="1:10">
      <c r="A380" s="134"/>
      <c r="E380" s="135"/>
      <c r="F380" s="135"/>
      <c r="G380" s="135"/>
      <c r="H380" s="135"/>
      <c r="I380" s="135"/>
      <c r="J380" s="37"/>
    </row>
    <row r="381" spans="1:10">
      <c r="A381" s="134"/>
      <c r="E381" s="135"/>
      <c r="F381" s="135"/>
      <c r="G381" s="135"/>
      <c r="H381" s="135"/>
      <c r="I381" s="135"/>
      <c r="J381" s="37"/>
    </row>
    <row r="382" spans="1:10">
      <c r="A382" s="134"/>
      <c r="E382" s="135"/>
      <c r="F382" s="135"/>
      <c r="G382" s="135"/>
      <c r="H382" s="135"/>
      <c r="I382" s="135"/>
      <c r="J382" s="37"/>
    </row>
    <row r="383" spans="1:10">
      <c r="A383" s="134"/>
      <c r="E383" s="135"/>
      <c r="F383" s="135"/>
      <c r="G383" s="135"/>
      <c r="H383" s="135"/>
      <c r="I383" s="135"/>
      <c r="J383" s="40"/>
    </row>
    <row r="384" spans="1:10">
      <c r="A384" s="134"/>
      <c r="E384" s="135"/>
      <c r="F384" s="135"/>
      <c r="G384" s="135"/>
      <c r="H384" s="135"/>
      <c r="I384" s="135"/>
      <c r="J384" s="37"/>
    </row>
    <row r="385" spans="1:10">
      <c r="A385" s="134"/>
      <c r="E385" s="135"/>
      <c r="F385" s="135"/>
      <c r="G385" s="135"/>
      <c r="H385" s="135"/>
      <c r="I385" s="135"/>
      <c r="J385" s="37"/>
    </row>
    <row r="386" spans="1:10">
      <c r="A386" s="134"/>
      <c r="E386" s="135"/>
      <c r="F386" s="135"/>
      <c r="G386" s="135"/>
      <c r="H386" s="135"/>
      <c r="I386" s="135"/>
      <c r="J386" s="40"/>
    </row>
    <row r="387" spans="1:10">
      <c r="A387" s="134"/>
      <c r="E387" s="135"/>
      <c r="F387" s="135"/>
      <c r="G387" s="135"/>
      <c r="H387" s="135"/>
      <c r="I387" s="135"/>
      <c r="J387" s="37"/>
    </row>
    <row r="388" spans="1:10">
      <c r="A388" s="134"/>
      <c r="E388" s="135"/>
      <c r="F388" s="135"/>
      <c r="G388" s="135"/>
      <c r="H388" s="135"/>
      <c r="I388" s="135"/>
      <c r="J388" s="37"/>
    </row>
    <row r="389" spans="1:10">
      <c r="A389" s="134"/>
      <c r="E389" s="135"/>
      <c r="F389" s="135"/>
      <c r="G389" s="135"/>
      <c r="H389" s="135"/>
      <c r="I389" s="135"/>
      <c r="J389" s="37"/>
    </row>
    <row r="390" spans="1:10">
      <c r="A390" s="134"/>
      <c r="E390" s="135"/>
      <c r="F390" s="135"/>
      <c r="G390" s="135"/>
      <c r="H390" s="135"/>
      <c r="I390" s="135"/>
      <c r="J390" s="37"/>
    </row>
    <row r="391" spans="1:10">
      <c r="A391" s="134"/>
      <c r="E391" s="135"/>
      <c r="F391" s="135"/>
      <c r="G391" s="135"/>
      <c r="H391" s="135"/>
      <c r="I391" s="135"/>
      <c r="J391" s="37"/>
    </row>
    <row r="392" spans="1:10">
      <c r="A392" s="134"/>
      <c r="E392" s="135"/>
      <c r="F392" s="135"/>
      <c r="G392" s="135"/>
      <c r="H392" s="135"/>
      <c r="I392" s="135"/>
      <c r="J392" s="37"/>
    </row>
    <row r="393" spans="1:10">
      <c r="A393" s="134"/>
      <c r="E393" s="135"/>
      <c r="F393" s="135"/>
      <c r="G393" s="135"/>
      <c r="H393" s="135"/>
      <c r="I393" s="135"/>
      <c r="J393" s="37"/>
    </row>
    <row r="394" spans="1:10">
      <c r="A394" s="134"/>
      <c r="E394" s="135"/>
      <c r="F394" s="135"/>
      <c r="G394" s="135"/>
      <c r="H394" s="135"/>
      <c r="I394" s="135"/>
      <c r="J394" s="37"/>
    </row>
    <row r="395" spans="1:10">
      <c r="A395" s="134"/>
      <c r="E395" s="135"/>
      <c r="F395" s="135"/>
      <c r="G395" s="135"/>
      <c r="H395" s="135"/>
      <c r="I395" s="135"/>
      <c r="J395" s="37"/>
    </row>
    <row r="396" spans="1:10">
      <c r="A396" s="134"/>
      <c r="E396" s="135"/>
      <c r="F396" s="135"/>
      <c r="G396" s="135"/>
      <c r="H396" s="135"/>
      <c r="I396" s="135"/>
      <c r="J396" s="37"/>
    </row>
    <row r="397" spans="1:10">
      <c r="A397" s="134"/>
      <c r="E397" s="135"/>
      <c r="F397" s="135"/>
      <c r="G397" s="135"/>
      <c r="H397" s="135"/>
      <c r="I397" s="135"/>
      <c r="J397" s="37"/>
    </row>
    <row r="398" spans="1:10">
      <c r="A398" s="134"/>
      <c r="E398" s="135"/>
      <c r="F398" s="135"/>
      <c r="G398" s="135"/>
      <c r="H398" s="135"/>
      <c r="I398" s="135"/>
      <c r="J398" s="37"/>
    </row>
    <row r="399" spans="1:10">
      <c r="A399" s="134"/>
      <c r="E399" s="135"/>
      <c r="F399" s="135"/>
      <c r="G399" s="135"/>
      <c r="H399" s="135"/>
      <c r="I399" s="135"/>
      <c r="J399" s="37"/>
    </row>
    <row r="400" spans="1:10">
      <c r="A400" s="134"/>
      <c r="E400" s="135"/>
      <c r="F400" s="135"/>
      <c r="G400" s="135"/>
      <c r="H400" s="135"/>
      <c r="I400" s="135"/>
      <c r="J400" s="37"/>
    </row>
    <row r="401" spans="1:10">
      <c r="A401" s="134"/>
      <c r="E401" s="135"/>
      <c r="F401" s="135"/>
      <c r="G401" s="135"/>
      <c r="H401" s="135"/>
      <c r="I401" s="135"/>
      <c r="J401" s="37"/>
    </row>
    <row r="402" spans="1:10">
      <c r="A402" s="134"/>
      <c r="E402" s="135"/>
      <c r="F402" s="135"/>
      <c r="G402" s="135"/>
      <c r="H402" s="135"/>
      <c r="I402" s="135"/>
      <c r="J402" s="37"/>
    </row>
    <row r="403" spans="1:10">
      <c r="A403" s="134"/>
      <c r="E403" s="135"/>
      <c r="F403" s="135"/>
      <c r="G403" s="135"/>
      <c r="H403" s="135"/>
      <c r="I403" s="135"/>
      <c r="J403" s="37"/>
    </row>
    <row r="404" spans="1:10">
      <c r="A404" s="134"/>
      <c r="E404" s="135"/>
      <c r="F404" s="135"/>
      <c r="G404" s="135"/>
      <c r="H404" s="135"/>
      <c r="I404" s="135"/>
      <c r="J404" s="37"/>
    </row>
    <row r="405" spans="1:10">
      <c r="A405" s="134"/>
      <c r="E405" s="135"/>
      <c r="F405" s="135"/>
      <c r="G405" s="135"/>
      <c r="H405" s="135"/>
      <c r="I405" s="135"/>
      <c r="J405" s="37"/>
    </row>
    <row r="406" spans="1:10">
      <c r="A406" s="134"/>
      <c r="E406" s="135"/>
      <c r="F406" s="135"/>
      <c r="G406" s="135"/>
      <c r="H406" s="135"/>
      <c r="I406" s="135"/>
      <c r="J406" s="37"/>
    </row>
    <row r="407" spans="1:10">
      <c r="A407" s="134"/>
      <c r="E407" s="135"/>
      <c r="F407" s="135"/>
      <c r="G407" s="135"/>
      <c r="H407" s="135"/>
      <c r="I407" s="135"/>
      <c r="J407" s="37"/>
    </row>
    <row r="408" spans="1:10">
      <c r="A408" s="134"/>
      <c r="E408" s="135"/>
      <c r="F408" s="135"/>
      <c r="G408" s="135"/>
      <c r="H408" s="135"/>
      <c r="I408" s="135"/>
      <c r="J408" s="37"/>
    </row>
    <row r="409" spans="1:10">
      <c r="A409" s="134"/>
      <c r="E409" s="135"/>
      <c r="F409" s="135"/>
      <c r="G409" s="135"/>
      <c r="H409" s="135"/>
      <c r="I409" s="135"/>
      <c r="J409" s="37"/>
    </row>
    <row r="410" spans="1:10">
      <c r="A410" s="134"/>
      <c r="E410" s="135"/>
      <c r="F410" s="135"/>
      <c r="G410" s="135"/>
      <c r="H410" s="135"/>
      <c r="I410" s="135"/>
      <c r="J410" s="37"/>
    </row>
    <row r="411" spans="1:10">
      <c r="A411" s="134"/>
      <c r="E411" s="135"/>
      <c r="F411" s="135"/>
      <c r="G411" s="135"/>
      <c r="H411" s="135"/>
      <c r="I411" s="135"/>
      <c r="J411" s="37"/>
    </row>
    <row r="412" spans="1:10">
      <c r="A412" s="134"/>
      <c r="E412" s="135"/>
      <c r="F412" s="135"/>
      <c r="G412" s="135"/>
      <c r="H412" s="135"/>
      <c r="I412" s="135"/>
      <c r="J412" s="37"/>
    </row>
    <row r="413" spans="1:10">
      <c r="A413" s="134"/>
      <c r="E413" s="135"/>
      <c r="F413" s="135"/>
      <c r="G413" s="135"/>
      <c r="H413" s="135"/>
      <c r="I413" s="135"/>
      <c r="J413" s="37"/>
    </row>
    <row r="414" spans="1:10">
      <c r="A414" s="134"/>
      <c r="E414" s="135"/>
      <c r="F414" s="135"/>
      <c r="G414" s="135"/>
      <c r="H414" s="135"/>
      <c r="I414" s="135"/>
      <c r="J414" s="37"/>
    </row>
    <row r="415" spans="1:10">
      <c r="A415" s="134"/>
      <c r="E415" s="135"/>
      <c r="F415" s="135"/>
      <c r="G415" s="135"/>
      <c r="H415" s="135"/>
      <c r="I415" s="135"/>
      <c r="J415" s="37"/>
    </row>
    <row r="416" spans="1:10">
      <c r="A416" s="134"/>
      <c r="E416" s="135"/>
      <c r="F416" s="135"/>
      <c r="G416" s="135"/>
      <c r="H416" s="135"/>
      <c r="I416" s="135"/>
      <c r="J416" s="37"/>
    </row>
    <row r="417" spans="1:10">
      <c r="A417" s="134"/>
      <c r="E417" s="135"/>
      <c r="F417" s="135"/>
      <c r="G417" s="135"/>
      <c r="H417" s="135"/>
      <c r="I417" s="135"/>
      <c r="J417" s="37"/>
    </row>
    <row r="418" spans="1:10">
      <c r="A418" s="134"/>
      <c r="E418" s="135"/>
      <c r="F418" s="135"/>
      <c r="G418" s="135"/>
      <c r="H418" s="135"/>
      <c r="I418" s="135"/>
      <c r="J418" s="37"/>
    </row>
    <row r="419" spans="1:10">
      <c r="A419" s="134"/>
      <c r="E419" s="135"/>
      <c r="F419" s="135"/>
      <c r="G419" s="135"/>
      <c r="H419" s="135"/>
      <c r="I419" s="135"/>
      <c r="J419" s="37"/>
    </row>
    <row r="420" spans="1:10">
      <c r="A420" s="134"/>
      <c r="E420" s="135"/>
      <c r="F420" s="135"/>
      <c r="G420" s="135"/>
      <c r="H420" s="135"/>
      <c r="I420" s="135"/>
      <c r="J420" s="37"/>
    </row>
    <row r="421" spans="1:10">
      <c r="A421" s="134"/>
      <c r="E421" s="135"/>
      <c r="F421" s="135"/>
      <c r="G421" s="135"/>
      <c r="H421" s="135"/>
      <c r="I421" s="135"/>
      <c r="J421" s="37"/>
    </row>
    <row r="422" spans="1:10">
      <c r="A422" s="134"/>
      <c r="E422" s="135"/>
      <c r="F422" s="135"/>
      <c r="G422" s="135"/>
      <c r="H422" s="135"/>
      <c r="I422" s="135"/>
      <c r="J422" s="37"/>
    </row>
    <row r="423" spans="1:10">
      <c r="A423" s="134"/>
      <c r="E423" s="135"/>
      <c r="F423" s="135"/>
      <c r="G423" s="135"/>
      <c r="H423" s="135"/>
      <c r="I423" s="135"/>
      <c r="J423" s="37"/>
    </row>
    <row r="424" spans="1:10">
      <c r="A424" s="134"/>
      <c r="E424" s="135"/>
      <c r="F424" s="135"/>
      <c r="G424" s="135"/>
      <c r="H424" s="135"/>
      <c r="I424" s="135"/>
      <c r="J424" s="37"/>
    </row>
    <row r="425" spans="1:10">
      <c r="A425" s="134"/>
      <c r="E425" s="135"/>
      <c r="F425" s="135"/>
      <c r="G425" s="135"/>
      <c r="H425" s="135"/>
      <c r="I425" s="135"/>
      <c r="J425" s="37"/>
    </row>
    <row r="426" spans="1:10">
      <c r="A426" s="134"/>
      <c r="E426" s="135"/>
      <c r="F426" s="135"/>
      <c r="G426" s="135"/>
      <c r="H426" s="135"/>
      <c r="I426" s="135"/>
      <c r="J426" s="40"/>
    </row>
    <row r="427" spans="1:10">
      <c r="A427" s="134"/>
      <c r="E427" s="135"/>
      <c r="F427" s="135"/>
      <c r="G427" s="135"/>
      <c r="H427" s="135"/>
      <c r="I427" s="135"/>
      <c r="J427" s="40"/>
    </row>
    <row r="428" spans="1:10">
      <c r="A428" s="134"/>
      <c r="E428" s="135"/>
      <c r="F428" s="135"/>
      <c r="G428" s="135"/>
      <c r="H428" s="135"/>
      <c r="I428" s="135"/>
      <c r="J428" s="37"/>
    </row>
    <row r="429" spans="1:10">
      <c r="A429" s="134"/>
      <c r="E429" s="135"/>
      <c r="F429" s="135"/>
      <c r="G429" s="135"/>
      <c r="H429" s="135"/>
      <c r="I429" s="135"/>
      <c r="J429" s="37"/>
    </row>
    <row r="430" spans="1:10">
      <c r="A430" s="134"/>
      <c r="E430" s="135"/>
      <c r="F430" s="135"/>
      <c r="G430" s="135"/>
      <c r="H430" s="135"/>
      <c r="I430" s="135"/>
      <c r="J430" s="37"/>
    </row>
    <row r="431" spans="1:10">
      <c r="A431" s="134"/>
      <c r="E431" s="135"/>
      <c r="F431" s="135"/>
      <c r="G431" s="135"/>
      <c r="H431" s="135"/>
      <c r="I431" s="135"/>
      <c r="J431" s="37"/>
    </row>
    <row r="432" spans="1:10">
      <c r="A432" s="134"/>
      <c r="E432" s="135"/>
      <c r="F432" s="135"/>
      <c r="G432" s="135"/>
      <c r="H432" s="135"/>
      <c r="I432" s="135"/>
      <c r="J432" s="37"/>
    </row>
    <row r="433" spans="1:10">
      <c r="A433" s="134"/>
      <c r="E433" s="135"/>
      <c r="F433" s="135"/>
      <c r="G433" s="135"/>
      <c r="H433" s="135"/>
      <c r="I433" s="135"/>
      <c r="J433" s="37"/>
    </row>
    <row r="434" spans="1:10">
      <c r="A434" s="134"/>
      <c r="E434" s="135"/>
      <c r="F434" s="135"/>
      <c r="G434" s="135"/>
      <c r="H434" s="135"/>
      <c r="I434" s="135"/>
      <c r="J434" s="37"/>
    </row>
    <row r="435" spans="1:10">
      <c r="A435" s="134"/>
      <c r="E435" s="135"/>
      <c r="F435" s="135"/>
      <c r="G435" s="135"/>
      <c r="H435" s="135"/>
      <c r="I435" s="135"/>
      <c r="J435" s="37"/>
    </row>
    <row r="436" spans="1:10">
      <c r="A436" s="134"/>
      <c r="E436" s="135"/>
      <c r="F436" s="135"/>
      <c r="G436" s="135"/>
      <c r="H436" s="135"/>
      <c r="I436" s="135"/>
      <c r="J436" s="37"/>
    </row>
    <row r="437" spans="1:10">
      <c r="A437" s="134"/>
      <c r="E437" s="135"/>
      <c r="F437" s="135"/>
      <c r="G437" s="135"/>
      <c r="H437" s="135"/>
      <c r="I437" s="135"/>
      <c r="J437" s="40"/>
    </row>
    <row r="438" spans="1:10">
      <c r="A438" s="134"/>
      <c r="E438" s="135"/>
      <c r="F438" s="135"/>
      <c r="G438" s="135"/>
      <c r="H438" s="135"/>
      <c r="I438" s="135"/>
      <c r="J438" s="37"/>
    </row>
    <row r="439" spans="1:10">
      <c r="A439" s="134"/>
      <c r="E439" s="135"/>
      <c r="F439" s="135"/>
      <c r="G439" s="135"/>
      <c r="H439" s="135"/>
      <c r="I439" s="135"/>
      <c r="J439" s="37"/>
    </row>
    <row r="440" spans="1:10">
      <c r="A440" s="134"/>
      <c r="E440" s="135"/>
      <c r="F440" s="135"/>
      <c r="G440" s="135"/>
      <c r="H440" s="135"/>
      <c r="I440" s="135"/>
      <c r="J440" s="37"/>
    </row>
    <row r="441" spans="1:10">
      <c r="A441" s="134"/>
      <c r="E441" s="135"/>
      <c r="F441" s="135"/>
      <c r="G441" s="135"/>
      <c r="H441" s="135"/>
      <c r="I441" s="135"/>
      <c r="J441" s="37"/>
    </row>
    <row r="442" spans="1:10">
      <c r="A442" s="134"/>
      <c r="E442" s="135"/>
      <c r="F442" s="135"/>
      <c r="G442" s="135"/>
      <c r="H442" s="135"/>
      <c r="I442" s="135"/>
      <c r="J442" s="37"/>
    </row>
    <row r="443" spans="1:10">
      <c r="A443" s="134"/>
      <c r="E443" s="135"/>
      <c r="F443" s="135"/>
      <c r="G443" s="135"/>
      <c r="H443" s="135"/>
      <c r="I443" s="135"/>
      <c r="J443" s="37"/>
    </row>
    <row r="444" spans="1:10">
      <c r="A444" s="134"/>
      <c r="E444" s="135"/>
      <c r="F444" s="135"/>
      <c r="G444" s="135"/>
      <c r="H444" s="135"/>
      <c r="I444" s="135"/>
      <c r="J444" s="37"/>
    </row>
    <row r="445" spans="1:10">
      <c r="A445" s="134"/>
      <c r="E445" s="135"/>
      <c r="F445" s="135"/>
      <c r="G445" s="135"/>
      <c r="H445" s="135"/>
      <c r="I445" s="135"/>
      <c r="J445" s="40"/>
    </row>
    <row r="446" spans="1:10">
      <c r="A446" s="134"/>
      <c r="E446" s="135"/>
      <c r="F446" s="135"/>
      <c r="G446" s="135"/>
      <c r="H446" s="135"/>
      <c r="I446" s="135"/>
      <c r="J446" s="37"/>
    </row>
    <row r="447" spans="1:10">
      <c r="A447" s="134"/>
      <c r="E447" s="135"/>
      <c r="F447" s="135"/>
      <c r="G447" s="135"/>
      <c r="H447" s="135"/>
      <c r="I447" s="135"/>
      <c r="J447" s="37"/>
    </row>
    <row r="448" spans="1:10">
      <c r="A448" s="134"/>
      <c r="E448" s="135"/>
      <c r="F448" s="135"/>
      <c r="G448" s="135"/>
      <c r="H448" s="135"/>
      <c r="I448" s="135"/>
      <c r="J448" s="37"/>
    </row>
    <row r="449" spans="1:10">
      <c r="A449" s="134"/>
      <c r="E449" s="135"/>
      <c r="F449" s="135"/>
      <c r="G449" s="135"/>
      <c r="H449" s="135"/>
      <c r="I449" s="135"/>
      <c r="J449" s="37"/>
    </row>
    <row r="450" spans="1:10">
      <c r="A450" s="134"/>
      <c r="E450" s="135"/>
      <c r="F450" s="135"/>
      <c r="G450" s="135"/>
      <c r="H450" s="135"/>
      <c r="I450" s="135"/>
      <c r="J450" s="37"/>
    </row>
    <row r="451" spans="1:10">
      <c r="A451" s="134"/>
      <c r="E451" s="135"/>
      <c r="F451" s="135"/>
      <c r="G451" s="135"/>
      <c r="H451" s="135"/>
      <c r="I451" s="135"/>
      <c r="J451" s="37"/>
    </row>
    <row r="452" spans="1:10">
      <c r="A452" s="134"/>
      <c r="E452" s="135"/>
      <c r="F452" s="135"/>
      <c r="G452" s="135"/>
      <c r="H452" s="135"/>
      <c r="I452" s="135"/>
      <c r="J452" s="37"/>
    </row>
    <row r="453" spans="1:10">
      <c r="A453" s="134"/>
      <c r="E453" s="135"/>
      <c r="F453" s="135"/>
      <c r="G453" s="135"/>
      <c r="H453" s="135"/>
      <c r="I453" s="135"/>
      <c r="J453" s="37"/>
    </row>
    <row r="454" spans="1:10">
      <c r="A454" s="134"/>
      <c r="E454" s="135"/>
      <c r="F454" s="135"/>
      <c r="G454" s="135"/>
      <c r="H454" s="135"/>
      <c r="I454" s="135"/>
      <c r="J454" s="37"/>
    </row>
    <row r="455" spans="1:10">
      <c r="A455" s="134"/>
      <c r="E455" s="135"/>
      <c r="F455" s="135"/>
      <c r="G455" s="135"/>
      <c r="H455" s="135"/>
      <c r="I455" s="135"/>
      <c r="J455" s="37"/>
    </row>
    <row r="456" spans="1:10">
      <c r="A456" s="134"/>
      <c r="E456" s="135"/>
      <c r="F456" s="135"/>
      <c r="G456" s="135"/>
      <c r="H456" s="135"/>
      <c r="I456" s="135"/>
      <c r="J456" s="37"/>
    </row>
    <row r="457" spans="1:10">
      <c r="A457" s="134"/>
      <c r="E457" s="135"/>
      <c r="F457" s="135"/>
      <c r="G457" s="135"/>
      <c r="H457" s="135"/>
      <c r="I457" s="135"/>
      <c r="J457" s="37"/>
    </row>
    <row r="458" spans="1:10">
      <c r="A458" s="134"/>
      <c r="E458" s="135"/>
      <c r="F458" s="135"/>
      <c r="G458" s="135"/>
      <c r="H458" s="135"/>
      <c r="I458" s="135"/>
      <c r="J458" s="37"/>
    </row>
    <row r="459" spans="1:10">
      <c r="A459" s="134"/>
      <c r="E459" s="135"/>
      <c r="F459" s="135"/>
      <c r="G459" s="135"/>
      <c r="H459" s="135"/>
      <c r="I459" s="135"/>
      <c r="J459" s="37"/>
    </row>
    <row r="460" spans="1:10">
      <c r="A460" s="134"/>
      <c r="E460" s="135"/>
      <c r="F460" s="135"/>
      <c r="G460" s="135"/>
      <c r="H460" s="135"/>
      <c r="I460" s="135"/>
      <c r="J460" s="37"/>
    </row>
    <row r="461" spans="1:10">
      <c r="A461" s="134"/>
      <c r="E461" s="135"/>
      <c r="F461" s="135"/>
      <c r="G461" s="135"/>
      <c r="H461" s="135"/>
      <c r="I461" s="135"/>
      <c r="J461" s="37"/>
    </row>
    <row r="462" spans="1:10">
      <c r="A462" s="134"/>
      <c r="E462" s="135"/>
      <c r="F462" s="135"/>
      <c r="G462" s="135"/>
      <c r="H462" s="135"/>
      <c r="I462" s="135"/>
      <c r="J462" s="37"/>
    </row>
    <row r="463" spans="1:10">
      <c r="A463" s="134"/>
      <c r="E463" s="135"/>
      <c r="F463" s="135"/>
      <c r="G463" s="135"/>
      <c r="H463" s="135"/>
      <c r="I463" s="135"/>
      <c r="J463" s="37"/>
    </row>
    <row r="464" spans="1:10">
      <c r="A464" s="134"/>
      <c r="E464" s="135"/>
      <c r="F464" s="135"/>
      <c r="G464" s="135"/>
      <c r="H464" s="135"/>
      <c r="I464" s="135"/>
      <c r="J464" s="37"/>
    </row>
    <row r="465" spans="1:10">
      <c r="A465" s="134"/>
      <c r="E465" s="135"/>
      <c r="F465" s="135"/>
      <c r="G465" s="135"/>
      <c r="H465" s="135"/>
      <c r="I465" s="135"/>
      <c r="J465" s="37"/>
    </row>
    <row r="466" spans="1:10">
      <c r="A466" s="134"/>
      <c r="E466" s="135"/>
      <c r="F466" s="135"/>
      <c r="G466" s="135"/>
      <c r="H466" s="135"/>
      <c r="I466" s="135"/>
      <c r="J466" s="37"/>
    </row>
    <row r="467" spans="1:10">
      <c r="A467" s="134"/>
      <c r="E467" s="135"/>
      <c r="F467" s="135"/>
      <c r="G467" s="135"/>
      <c r="H467" s="135"/>
      <c r="I467" s="135"/>
      <c r="J467" s="37"/>
    </row>
    <row r="468" spans="1:10">
      <c r="A468" s="134"/>
      <c r="E468" s="135"/>
      <c r="F468" s="135"/>
      <c r="G468" s="135"/>
      <c r="H468" s="135"/>
      <c r="I468" s="135"/>
      <c r="J468" s="37"/>
    </row>
    <row r="469" spans="1:10">
      <c r="A469" s="134"/>
      <c r="E469" s="135"/>
      <c r="F469" s="135"/>
      <c r="G469" s="135"/>
      <c r="H469" s="135"/>
      <c r="I469" s="135"/>
      <c r="J469" s="37"/>
    </row>
    <row r="470" spans="1:10">
      <c r="A470" s="134"/>
      <c r="E470" s="135"/>
      <c r="F470" s="135"/>
      <c r="G470" s="135"/>
      <c r="H470" s="135"/>
      <c r="I470" s="135"/>
      <c r="J470" s="37"/>
    </row>
    <row r="471" spans="1:10">
      <c r="A471" s="134"/>
      <c r="E471" s="135"/>
      <c r="F471" s="135"/>
      <c r="G471" s="135"/>
      <c r="H471" s="135"/>
      <c r="I471" s="135"/>
      <c r="J471" s="37"/>
    </row>
    <row r="472" spans="1:10">
      <c r="A472" s="134"/>
      <c r="E472" s="135"/>
      <c r="F472" s="135"/>
      <c r="G472" s="135"/>
      <c r="H472" s="135"/>
      <c r="I472" s="135"/>
      <c r="J472" s="37"/>
    </row>
    <row r="473" spans="1:10">
      <c r="A473" s="134"/>
      <c r="E473" s="135"/>
      <c r="F473" s="135"/>
      <c r="G473" s="135"/>
      <c r="H473" s="135"/>
      <c r="I473" s="135"/>
      <c r="J473" s="37"/>
    </row>
    <row r="474" spans="1:10">
      <c r="A474" s="134"/>
      <c r="E474" s="135"/>
      <c r="F474" s="135"/>
      <c r="G474" s="135"/>
      <c r="H474" s="135"/>
      <c r="I474" s="135"/>
      <c r="J474" s="37"/>
    </row>
    <row r="475" spans="1:10">
      <c r="A475" s="134"/>
      <c r="E475" s="135"/>
      <c r="F475" s="135"/>
      <c r="G475" s="135"/>
      <c r="H475" s="135"/>
      <c r="I475" s="135"/>
      <c r="J475" s="37"/>
    </row>
    <row r="476" spans="1:10">
      <c r="A476" s="134"/>
      <c r="E476" s="135"/>
      <c r="F476" s="135"/>
      <c r="G476" s="135"/>
      <c r="H476" s="135"/>
      <c r="I476" s="135"/>
      <c r="J476" s="37"/>
    </row>
    <row r="477" spans="1:10">
      <c r="A477" s="134"/>
      <c r="E477" s="135"/>
      <c r="F477" s="135"/>
      <c r="G477" s="135"/>
      <c r="H477" s="135"/>
      <c r="I477" s="135"/>
      <c r="J477" s="37"/>
    </row>
    <row r="478" spans="1:10">
      <c r="A478" s="134"/>
      <c r="E478" s="135"/>
      <c r="F478" s="135"/>
      <c r="G478" s="135"/>
      <c r="H478" s="135"/>
      <c r="I478" s="135"/>
      <c r="J478" s="37"/>
    </row>
    <row r="479" spans="1:10">
      <c r="A479" s="134"/>
      <c r="E479" s="135"/>
      <c r="F479" s="135"/>
      <c r="G479" s="135"/>
      <c r="H479" s="135"/>
      <c r="I479" s="135"/>
      <c r="J479" s="40"/>
    </row>
    <row r="480" spans="1:10">
      <c r="A480" s="134"/>
      <c r="E480" s="135"/>
      <c r="F480" s="135"/>
      <c r="G480" s="135"/>
      <c r="H480" s="135"/>
      <c r="I480" s="135"/>
      <c r="J480" s="37"/>
    </row>
    <row r="481" spans="1:10">
      <c r="A481" s="134"/>
      <c r="E481" s="135"/>
      <c r="F481" s="135"/>
      <c r="G481" s="135"/>
      <c r="H481" s="135"/>
      <c r="I481" s="135"/>
      <c r="J481" s="37"/>
    </row>
    <row r="482" spans="1:10">
      <c r="A482" s="134"/>
      <c r="E482" s="135"/>
      <c r="F482" s="135"/>
      <c r="G482" s="135"/>
      <c r="H482" s="135"/>
      <c r="I482" s="135"/>
      <c r="J482" s="37"/>
    </row>
    <row r="483" spans="1:10">
      <c r="A483" s="134"/>
      <c r="E483" s="135"/>
      <c r="F483" s="135"/>
      <c r="G483" s="135"/>
      <c r="H483" s="135"/>
      <c r="I483" s="135"/>
      <c r="J483" s="37"/>
    </row>
    <row r="484" spans="1:10">
      <c r="A484" s="134"/>
      <c r="E484" s="135"/>
      <c r="F484" s="135"/>
      <c r="G484" s="135"/>
      <c r="H484" s="135"/>
      <c r="I484" s="135"/>
      <c r="J484" s="37"/>
    </row>
    <row r="485" spans="1:10">
      <c r="A485" s="134"/>
      <c r="E485" s="135"/>
      <c r="F485" s="135"/>
      <c r="G485" s="135"/>
      <c r="H485" s="135"/>
      <c r="I485" s="135"/>
      <c r="J485" s="37"/>
    </row>
    <row r="486" spans="1:10">
      <c r="A486" s="134"/>
      <c r="E486" s="135"/>
      <c r="F486" s="135"/>
      <c r="G486" s="135"/>
      <c r="H486" s="135"/>
      <c r="I486" s="135"/>
      <c r="J486" s="37"/>
    </row>
    <row r="487" spans="1:10">
      <c r="A487" s="134"/>
      <c r="E487" s="135"/>
      <c r="F487" s="135"/>
      <c r="G487" s="135"/>
      <c r="H487" s="135"/>
      <c r="I487" s="135"/>
      <c r="J487" s="37"/>
    </row>
    <row r="488" spans="1:10">
      <c r="A488" s="134"/>
      <c r="E488" s="135"/>
      <c r="F488" s="135"/>
      <c r="G488" s="135"/>
      <c r="H488" s="135"/>
      <c r="I488" s="135"/>
      <c r="J488" s="37"/>
    </row>
    <row r="489" spans="1:10">
      <c r="A489" s="134"/>
      <c r="E489" s="135"/>
      <c r="F489" s="135"/>
      <c r="G489" s="135"/>
      <c r="H489" s="135"/>
      <c r="I489" s="135"/>
      <c r="J489" s="40"/>
    </row>
    <row r="490" spans="1:10">
      <c r="A490" s="134"/>
      <c r="E490" s="135"/>
      <c r="F490" s="135"/>
      <c r="G490" s="135"/>
      <c r="H490" s="135"/>
      <c r="I490" s="135"/>
      <c r="J490" s="37"/>
    </row>
    <row r="491" spans="1:10">
      <c r="A491" s="134"/>
      <c r="E491" s="135"/>
      <c r="F491" s="135"/>
      <c r="G491" s="135"/>
      <c r="H491" s="135"/>
      <c r="I491" s="135"/>
      <c r="J491" s="37"/>
    </row>
    <row r="492" spans="1:10">
      <c r="A492" s="134"/>
      <c r="E492" s="135"/>
      <c r="F492" s="135"/>
      <c r="G492" s="135"/>
      <c r="H492" s="135"/>
      <c r="I492" s="135"/>
      <c r="J492" s="37"/>
    </row>
    <row r="493" spans="1:10">
      <c r="A493" s="134"/>
      <c r="E493" s="135"/>
      <c r="F493" s="135"/>
      <c r="G493" s="135"/>
      <c r="H493" s="135"/>
      <c r="I493" s="135"/>
      <c r="J493" s="37"/>
    </row>
    <row r="494" spans="1:10">
      <c r="A494" s="134"/>
      <c r="E494" s="135"/>
      <c r="F494" s="135"/>
      <c r="G494" s="135"/>
      <c r="H494" s="135"/>
      <c r="I494" s="135"/>
      <c r="J494" s="37"/>
    </row>
    <row r="495" spans="1:10">
      <c r="A495" s="134"/>
      <c r="E495" s="135"/>
      <c r="F495" s="135"/>
      <c r="G495" s="135"/>
      <c r="H495" s="135"/>
      <c r="I495" s="135"/>
      <c r="J495" s="37"/>
    </row>
    <row r="496" spans="1:10">
      <c r="A496" s="134"/>
      <c r="E496" s="135"/>
      <c r="F496" s="135"/>
      <c r="G496" s="135"/>
      <c r="H496" s="135"/>
      <c r="I496" s="135"/>
      <c r="J496" s="37"/>
    </row>
    <row r="497" spans="1:10">
      <c r="A497" s="134"/>
      <c r="E497" s="135"/>
      <c r="F497" s="135"/>
      <c r="G497" s="135"/>
      <c r="H497" s="135"/>
      <c r="I497" s="135"/>
      <c r="J497" s="40"/>
    </row>
    <row r="498" spans="1:10">
      <c r="A498" s="134"/>
      <c r="E498" s="135"/>
      <c r="F498" s="135"/>
      <c r="G498" s="135"/>
      <c r="H498" s="135"/>
      <c r="I498" s="135"/>
      <c r="J498" s="37"/>
    </row>
    <row r="499" spans="1:10">
      <c r="A499" s="134"/>
      <c r="E499" s="135"/>
      <c r="F499" s="135"/>
      <c r="G499" s="135"/>
      <c r="H499" s="135"/>
      <c r="I499" s="135"/>
      <c r="J499" s="37"/>
    </row>
    <row r="500" spans="1:10">
      <c r="A500" s="134"/>
      <c r="E500" s="135"/>
      <c r="F500" s="135"/>
      <c r="G500" s="135"/>
      <c r="H500" s="135"/>
      <c r="I500" s="135"/>
      <c r="J500" s="40"/>
    </row>
    <row r="501" spans="1:10">
      <c r="A501" s="134"/>
      <c r="E501" s="135"/>
      <c r="F501" s="135"/>
      <c r="G501" s="135"/>
      <c r="H501" s="135"/>
      <c r="I501" s="135"/>
      <c r="J501" s="37"/>
    </row>
    <row r="502" spans="1:10">
      <c r="A502" s="134"/>
      <c r="E502" s="135"/>
      <c r="F502" s="135"/>
      <c r="G502" s="135"/>
      <c r="H502" s="135"/>
      <c r="I502" s="135"/>
      <c r="J502" s="37"/>
    </row>
    <row r="503" spans="1:10">
      <c r="A503" s="134"/>
      <c r="E503" s="135"/>
      <c r="F503" s="135"/>
      <c r="G503" s="135"/>
      <c r="H503" s="135"/>
      <c r="I503" s="135"/>
      <c r="J503" s="37"/>
    </row>
    <row r="504" spans="1:10">
      <c r="A504" s="134"/>
      <c r="E504" s="135"/>
      <c r="F504" s="135"/>
      <c r="G504" s="135"/>
      <c r="H504" s="135"/>
      <c r="I504" s="135"/>
      <c r="J504" s="37"/>
    </row>
    <row r="505" spans="1:10">
      <c r="A505" s="134"/>
      <c r="E505" s="135"/>
      <c r="F505" s="135"/>
      <c r="G505" s="135"/>
      <c r="H505" s="135"/>
      <c r="I505" s="135"/>
      <c r="J505" s="37"/>
    </row>
    <row r="506" spans="1:10">
      <c r="A506" s="134"/>
      <c r="E506" s="135"/>
      <c r="F506" s="135"/>
      <c r="G506" s="135"/>
      <c r="H506" s="135"/>
      <c r="I506" s="135"/>
      <c r="J506" s="37"/>
    </row>
    <row r="507" spans="1:10">
      <c r="A507" s="134"/>
      <c r="E507" s="135"/>
      <c r="F507" s="135"/>
      <c r="G507" s="135"/>
      <c r="H507" s="135"/>
      <c r="I507" s="135"/>
      <c r="J507" s="37"/>
    </row>
    <row r="508" spans="1:10">
      <c r="E508" s="135"/>
      <c r="F508" s="135"/>
      <c r="G508" s="135"/>
      <c r="H508" s="135"/>
      <c r="I508" s="135"/>
      <c r="J508" s="37"/>
    </row>
    <row r="509" spans="1:10">
      <c r="E509" s="135"/>
      <c r="F509" s="135"/>
      <c r="G509" s="135"/>
      <c r="H509" s="135"/>
      <c r="I509" s="135"/>
      <c r="J509" s="37"/>
    </row>
    <row r="510" spans="1:10">
      <c r="E510" s="135"/>
      <c r="F510" s="135"/>
      <c r="G510" s="135"/>
      <c r="H510" s="135"/>
      <c r="I510" s="135"/>
      <c r="J510" s="37"/>
    </row>
    <row r="511" spans="1:10">
      <c r="E511" s="135"/>
      <c r="F511" s="135"/>
      <c r="G511" s="135"/>
      <c r="H511" s="135"/>
      <c r="I511" s="135"/>
      <c r="J511" s="37"/>
    </row>
    <row r="512" spans="1:10">
      <c r="E512" s="135"/>
      <c r="F512" s="135"/>
      <c r="G512" s="135"/>
      <c r="H512" s="135"/>
      <c r="I512" s="135"/>
      <c r="J512" s="37"/>
    </row>
    <row r="513" spans="5:10">
      <c r="E513" s="135"/>
      <c r="F513" s="135"/>
      <c r="G513" s="135"/>
      <c r="H513" s="135"/>
      <c r="I513" s="135"/>
      <c r="J513" s="37"/>
    </row>
    <row r="514" spans="5:10">
      <c r="E514" s="135"/>
      <c r="F514" s="135"/>
      <c r="G514" s="135"/>
      <c r="H514" s="135"/>
      <c r="I514" s="135"/>
      <c r="J514" s="37"/>
    </row>
    <row r="515" spans="5:10">
      <c r="E515" s="135"/>
      <c r="F515" s="135"/>
      <c r="G515" s="135"/>
      <c r="H515" s="135"/>
      <c r="I515" s="135"/>
      <c r="J515" s="37"/>
    </row>
    <row r="516" spans="5:10">
      <c r="E516" s="135"/>
      <c r="F516" s="135"/>
      <c r="G516" s="135"/>
      <c r="H516" s="135"/>
      <c r="I516" s="135"/>
      <c r="J516" s="37"/>
    </row>
    <row r="517" spans="5:10">
      <c r="E517" s="135"/>
      <c r="F517" s="135"/>
      <c r="G517" s="135"/>
      <c r="H517" s="135"/>
      <c r="I517" s="135"/>
      <c r="J517" s="37"/>
    </row>
    <row r="518" spans="5:10">
      <c r="E518" s="135"/>
      <c r="F518" s="135"/>
      <c r="G518" s="135"/>
      <c r="H518" s="135"/>
      <c r="I518" s="135"/>
      <c r="J518" s="37"/>
    </row>
    <row r="519" spans="5:10">
      <c r="E519" s="135"/>
      <c r="F519" s="135"/>
      <c r="G519" s="135"/>
      <c r="H519" s="135"/>
      <c r="I519" s="135"/>
      <c r="J519" s="37"/>
    </row>
    <row r="520" spans="5:10">
      <c r="E520" s="135"/>
      <c r="F520" s="135"/>
      <c r="G520" s="135"/>
      <c r="H520" s="135"/>
      <c r="I520" s="135"/>
      <c r="J520" s="37"/>
    </row>
    <row r="521" spans="5:10">
      <c r="E521" s="135"/>
      <c r="F521" s="135"/>
      <c r="G521" s="135"/>
      <c r="H521" s="135"/>
      <c r="I521" s="135"/>
      <c r="J521" s="37"/>
    </row>
    <row r="522" spans="5:10">
      <c r="E522" s="135"/>
      <c r="F522" s="135"/>
      <c r="G522" s="135"/>
      <c r="H522" s="135"/>
      <c r="I522" s="135"/>
      <c r="J522" s="37"/>
    </row>
    <row r="523" spans="5:10">
      <c r="E523" s="135"/>
      <c r="F523" s="135"/>
      <c r="G523" s="135"/>
      <c r="H523" s="135"/>
      <c r="I523" s="135"/>
      <c r="J523" s="37"/>
    </row>
    <row r="524" spans="5:10">
      <c r="E524" s="135"/>
      <c r="F524" s="135"/>
      <c r="G524" s="135"/>
      <c r="H524" s="135"/>
      <c r="I524" s="135"/>
      <c r="J524" s="37"/>
    </row>
    <row r="525" spans="5:10">
      <c r="E525" s="135"/>
      <c r="F525" s="135"/>
      <c r="G525" s="135"/>
      <c r="H525" s="135"/>
      <c r="I525" s="135"/>
      <c r="J525" s="37"/>
    </row>
    <row r="526" spans="5:10">
      <c r="E526" s="135"/>
      <c r="F526" s="135"/>
      <c r="G526" s="135"/>
      <c r="H526" s="135"/>
      <c r="I526" s="135"/>
      <c r="J526" s="37"/>
    </row>
    <row r="527" spans="5:10">
      <c r="E527" s="135"/>
      <c r="F527" s="135"/>
      <c r="G527" s="135"/>
      <c r="H527" s="135"/>
      <c r="I527" s="135"/>
      <c r="J527" s="37"/>
    </row>
    <row r="528" spans="5:10">
      <c r="E528" s="135"/>
      <c r="F528" s="135"/>
      <c r="G528" s="135"/>
      <c r="H528" s="135"/>
      <c r="I528" s="135"/>
      <c r="J528" s="37"/>
    </row>
    <row r="529" spans="5:10">
      <c r="E529" s="135"/>
      <c r="F529" s="135"/>
      <c r="G529" s="135"/>
      <c r="H529" s="135"/>
      <c r="I529" s="135"/>
      <c r="J529" s="37"/>
    </row>
    <row r="530" spans="5:10">
      <c r="E530" s="135"/>
      <c r="F530" s="135"/>
      <c r="G530" s="135"/>
      <c r="H530" s="135"/>
      <c r="I530" s="135"/>
      <c r="J530" s="37"/>
    </row>
    <row r="531" spans="5:10">
      <c r="E531" s="135"/>
      <c r="F531" s="135"/>
      <c r="G531" s="135"/>
      <c r="H531" s="135"/>
      <c r="I531" s="135"/>
      <c r="J531" s="37"/>
    </row>
    <row r="532" spans="5:10">
      <c r="E532" s="135"/>
      <c r="F532" s="135"/>
      <c r="G532" s="135"/>
      <c r="H532" s="135"/>
      <c r="I532" s="135"/>
      <c r="J532" s="37"/>
    </row>
    <row r="533" spans="5:10">
      <c r="E533" s="135"/>
      <c r="F533" s="135"/>
      <c r="G533" s="135"/>
      <c r="H533" s="135"/>
      <c r="I533" s="135"/>
      <c r="J533" s="37"/>
    </row>
    <row r="534" spans="5:10">
      <c r="E534" s="135"/>
      <c r="F534" s="135"/>
      <c r="G534" s="135"/>
      <c r="H534" s="135"/>
      <c r="I534" s="135"/>
      <c r="J534" s="37"/>
    </row>
    <row r="535" spans="5:10">
      <c r="E535" s="135"/>
      <c r="F535" s="135"/>
      <c r="G535" s="135"/>
      <c r="H535" s="135"/>
      <c r="I535" s="135"/>
      <c r="J535" s="37"/>
    </row>
    <row r="536" spans="5:10">
      <c r="E536" s="135"/>
      <c r="F536" s="135"/>
      <c r="G536" s="135"/>
      <c r="H536" s="135"/>
      <c r="I536" s="135"/>
      <c r="J536" s="37"/>
    </row>
    <row r="537" spans="5:10">
      <c r="E537" s="135"/>
      <c r="F537" s="135"/>
      <c r="G537" s="135"/>
      <c r="H537" s="135"/>
      <c r="I537" s="135"/>
      <c r="J537" s="37"/>
    </row>
    <row r="538" spans="5:10">
      <c r="E538" s="135"/>
      <c r="F538" s="135"/>
      <c r="G538" s="135"/>
      <c r="H538" s="135"/>
      <c r="I538" s="135"/>
      <c r="J538" s="40"/>
    </row>
    <row r="539" spans="5:10">
      <c r="E539" s="135"/>
      <c r="F539" s="135"/>
      <c r="G539" s="135"/>
      <c r="H539" s="135"/>
      <c r="I539" s="135"/>
      <c r="J539" s="37"/>
    </row>
    <row r="540" spans="5:10">
      <c r="E540" s="135"/>
      <c r="F540" s="135"/>
      <c r="G540" s="135"/>
      <c r="H540" s="135"/>
      <c r="I540" s="135"/>
      <c r="J540" s="37"/>
    </row>
    <row r="541" spans="5:10">
      <c r="E541" s="135"/>
      <c r="F541" s="135"/>
      <c r="G541" s="135"/>
      <c r="H541" s="135"/>
      <c r="I541" s="135"/>
      <c r="J541" s="40"/>
    </row>
    <row r="542" spans="5:10">
      <c r="E542" s="135"/>
      <c r="F542" s="135"/>
      <c r="G542" s="135"/>
      <c r="H542" s="135"/>
      <c r="I542" s="135"/>
      <c r="J542" s="37"/>
    </row>
    <row r="543" spans="5:10">
      <c r="E543" s="135"/>
      <c r="F543" s="135"/>
      <c r="G543" s="135"/>
      <c r="H543" s="135"/>
      <c r="I543" s="135"/>
      <c r="J543" s="37"/>
    </row>
    <row r="544" spans="5:10">
      <c r="E544" s="135"/>
      <c r="F544" s="135"/>
      <c r="G544" s="135"/>
      <c r="H544" s="135"/>
      <c r="I544" s="135"/>
      <c r="J544" s="37"/>
    </row>
    <row r="545" spans="5:10">
      <c r="E545" s="135"/>
      <c r="F545" s="135"/>
      <c r="G545" s="135"/>
      <c r="H545" s="135"/>
      <c r="I545" s="135"/>
      <c r="J545" s="37"/>
    </row>
    <row r="546" spans="5:10">
      <c r="E546" s="135"/>
      <c r="F546" s="135"/>
      <c r="G546" s="135"/>
      <c r="H546" s="135"/>
      <c r="I546" s="135"/>
      <c r="J546" s="37"/>
    </row>
    <row r="547" spans="5:10">
      <c r="E547" s="135"/>
      <c r="F547" s="135"/>
      <c r="G547" s="135"/>
      <c r="H547" s="135"/>
      <c r="I547" s="135"/>
      <c r="J547" s="37"/>
    </row>
    <row r="548" spans="5:10">
      <c r="E548" s="135"/>
      <c r="F548" s="135"/>
      <c r="G548" s="135"/>
      <c r="H548" s="135"/>
      <c r="I548" s="135"/>
      <c r="J548" s="37"/>
    </row>
    <row r="549" spans="5:10">
      <c r="E549" s="135"/>
      <c r="F549" s="135"/>
      <c r="G549" s="135"/>
      <c r="H549" s="135"/>
      <c r="I549" s="135"/>
      <c r="J549" s="37"/>
    </row>
    <row r="550" spans="5:10">
      <c r="E550" s="135"/>
      <c r="F550" s="135"/>
      <c r="G550" s="135"/>
      <c r="H550" s="135"/>
      <c r="I550" s="135"/>
      <c r="J550" s="40"/>
    </row>
    <row r="551" spans="5:10">
      <c r="E551" s="135"/>
      <c r="F551" s="135"/>
      <c r="G551" s="135"/>
      <c r="H551" s="135"/>
      <c r="I551" s="135"/>
      <c r="J551" s="37"/>
    </row>
    <row r="552" spans="5:10">
      <c r="E552" s="135"/>
      <c r="F552" s="135"/>
      <c r="G552" s="135"/>
      <c r="H552" s="135"/>
      <c r="I552" s="135"/>
      <c r="J552" s="37"/>
    </row>
    <row r="553" spans="5:10">
      <c r="E553" s="135"/>
      <c r="F553" s="135"/>
      <c r="G553" s="135"/>
      <c r="H553" s="135"/>
      <c r="I553" s="135"/>
      <c r="J553" s="37"/>
    </row>
    <row r="554" spans="5:10">
      <c r="E554" s="135"/>
      <c r="F554" s="135"/>
      <c r="G554" s="135"/>
      <c r="H554" s="135"/>
      <c r="I554" s="135"/>
      <c r="J554" s="37"/>
    </row>
    <row r="555" spans="5:10">
      <c r="E555" s="135"/>
      <c r="F555" s="135"/>
      <c r="G555" s="135"/>
      <c r="H555" s="135"/>
      <c r="I555" s="135"/>
      <c r="J555" s="37"/>
    </row>
    <row r="556" spans="5:10">
      <c r="E556" s="135"/>
      <c r="F556" s="135"/>
      <c r="G556" s="135"/>
      <c r="H556" s="135"/>
      <c r="I556" s="135"/>
      <c r="J556" s="37"/>
    </row>
    <row r="557" spans="5:10">
      <c r="E557" s="135"/>
      <c r="F557" s="135"/>
      <c r="G557" s="135"/>
      <c r="H557" s="135"/>
      <c r="I557" s="135"/>
      <c r="J557" s="37"/>
    </row>
    <row r="558" spans="5:10">
      <c r="E558" s="135"/>
      <c r="F558" s="135"/>
      <c r="G558" s="135"/>
      <c r="H558" s="135"/>
      <c r="I558" s="135"/>
      <c r="J558" s="37"/>
    </row>
    <row r="559" spans="5:10">
      <c r="E559" s="135"/>
      <c r="F559" s="135"/>
      <c r="G559" s="135"/>
      <c r="H559" s="135"/>
      <c r="I559" s="135"/>
      <c r="J559" s="37"/>
    </row>
    <row r="560" spans="5:10">
      <c r="E560" s="135"/>
      <c r="F560" s="135"/>
      <c r="G560" s="135"/>
      <c r="H560" s="135"/>
      <c r="I560" s="135"/>
      <c r="J560" s="37"/>
    </row>
    <row r="561" spans="5:10">
      <c r="E561" s="135"/>
      <c r="F561" s="135"/>
      <c r="G561" s="135"/>
      <c r="H561" s="135"/>
      <c r="I561" s="135"/>
      <c r="J561" s="37"/>
    </row>
    <row r="562" spans="5:10">
      <c r="E562" s="135"/>
      <c r="F562" s="135"/>
      <c r="G562" s="135"/>
      <c r="H562" s="135"/>
      <c r="I562" s="135"/>
      <c r="J562" s="40"/>
    </row>
    <row r="563" spans="5:10">
      <c r="E563" s="135"/>
      <c r="F563" s="135"/>
      <c r="G563" s="135"/>
      <c r="H563" s="135"/>
      <c r="I563" s="135"/>
      <c r="J563" s="37"/>
    </row>
    <row r="564" spans="5:10">
      <c r="E564" s="135"/>
      <c r="F564" s="135"/>
      <c r="G564" s="135"/>
      <c r="H564" s="135"/>
      <c r="I564" s="135"/>
      <c r="J564" s="37"/>
    </row>
    <row r="565" spans="5:10">
      <c r="E565" s="135"/>
      <c r="F565" s="135"/>
      <c r="G565" s="135"/>
      <c r="H565" s="135"/>
      <c r="I565" s="135"/>
      <c r="J565" s="37"/>
    </row>
    <row r="566" spans="5:10">
      <c r="E566" s="135"/>
      <c r="F566" s="135"/>
      <c r="G566" s="135"/>
      <c r="H566" s="135"/>
      <c r="I566" s="135"/>
      <c r="J566" s="37"/>
    </row>
    <row r="567" spans="5:10">
      <c r="E567" s="135"/>
      <c r="F567" s="135"/>
      <c r="G567" s="135"/>
      <c r="H567" s="135"/>
      <c r="I567" s="135"/>
      <c r="J567" s="37"/>
    </row>
    <row r="568" spans="5:10">
      <c r="E568" s="135"/>
      <c r="F568" s="135"/>
      <c r="G568" s="135"/>
      <c r="H568" s="135"/>
      <c r="I568" s="135"/>
      <c r="J568" s="37"/>
    </row>
    <row r="569" spans="5:10">
      <c r="E569" s="135"/>
      <c r="F569" s="135"/>
      <c r="G569" s="135"/>
      <c r="H569" s="135"/>
      <c r="I569" s="135"/>
      <c r="J569" s="37"/>
    </row>
    <row r="570" spans="5:10">
      <c r="E570" s="135"/>
      <c r="F570" s="135"/>
      <c r="G570" s="135"/>
      <c r="H570" s="135"/>
      <c r="I570" s="135"/>
      <c r="J570" s="37"/>
    </row>
    <row r="571" spans="5:10">
      <c r="E571" s="135"/>
      <c r="F571" s="135"/>
      <c r="G571" s="135"/>
      <c r="H571" s="135"/>
      <c r="I571" s="135"/>
      <c r="J571" s="37"/>
    </row>
    <row r="572" spans="5:10">
      <c r="E572" s="135"/>
      <c r="F572" s="135"/>
      <c r="G572" s="135"/>
      <c r="H572" s="135"/>
      <c r="I572" s="135"/>
      <c r="J572" s="37"/>
    </row>
    <row r="573" spans="5:10">
      <c r="E573" s="135"/>
      <c r="F573" s="135"/>
      <c r="G573" s="135"/>
      <c r="H573" s="135"/>
      <c r="I573" s="135"/>
      <c r="J573" s="37"/>
    </row>
    <row r="574" spans="5:10">
      <c r="E574" s="135"/>
      <c r="F574" s="135"/>
      <c r="G574" s="135"/>
      <c r="H574" s="135"/>
      <c r="I574" s="135"/>
      <c r="J574" s="37"/>
    </row>
    <row r="575" spans="5:10">
      <c r="E575" s="135"/>
      <c r="F575" s="135"/>
      <c r="G575" s="135"/>
      <c r="H575" s="135"/>
      <c r="I575" s="135"/>
      <c r="J575" s="37"/>
    </row>
    <row r="576" spans="5:10">
      <c r="E576" s="135"/>
      <c r="F576" s="135"/>
      <c r="G576" s="135"/>
      <c r="H576" s="135"/>
      <c r="I576" s="135"/>
      <c r="J576" s="37"/>
    </row>
    <row r="577" spans="5:10">
      <c r="E577" s="135"/>
      <c r="F577" s="135"/>
      <c r="G577" s="135"/>
      <c r="H577" s="135"/>
      <c r="I577" s="135"/>
      <c r="J577" s="37"/>
    </row>
    <row r="578" spans="5:10">
      <c r="E578" s="135"/>
      <c r="F578" s="135"/>
      <c r="G578" s="135"/>
      <c r="H578" s="135"/>
      <c r="I578" s="135"/>
      <c r="J578" s="37"/>
    </row>
    <row r="579" spans="5:10">
      <c r="E579" s="135"/>
      <c r="F579" s="135"/>
      <c r="G579" s="135"/>
      <c r="H579" s="135"/>
      <c r="I579" s="135"/>
      <c r="J579" s="37"/>
    </row>
    <row r="580" spans="5:10">
      <c r="E580" s="135"/>
      <c r="F580" s="135"/>
      <c r="G580" s="135"/>
      <c r="H580" s="135"/>
      <c r="I580" s="135"/>
      <c r="J580" s="37"/>
    </row>
    <row r="581" spans="5:10">
      <c r="E581" s="135"/>
      <c r="F581" s="135"/>
      <c r="G581" s="135"/>
      <c r="H581" s="135"/>
      <c r="I581" s="135"/>
      <c r="J581" s="37"/>
    </row>
    <row r="582" spans="5:10">
      <c r="E582" s="135"/>
      <c r="F582" s="135"/>
      <c r="G582" s="135"/>
      <c r="H582" s="135"/>
      <c r="I582" s="135"/>
      <c r="J582" s="37"/>
    </row>
    <row r="583" spans="5:10">
      <c r="E583" s="135"/>
      <c r="F583" s="135"/>
      <c r="G583" s="135"/>
      <c r="H583" s="135"/>
      <c r="I583" s="135"/>
      <c r="J583" s="37"/>
    </row>
    <row r="584" spans="5:10">
      <c r="E584" s="135"/>
      <c r="F584" s="135"/>
      <c r="G584" s="135"/>
      <c r="H584" s="135"/>
      <c r="I584" s="135"/>
      <c r="J584" s="37"/>
    </row>
    <row r="585" spans="5:10">
      <c r="E585" s="135"/>
      <c r="F585" s="135"/>
      <c r="G585" s="135"/>
      <c r="H585" s="135"/>
      <c r="I585" s="135"/>
      <c r="J585" s="37"/>
    </row>
    <row r="586" spans="5:10">
      <c r="E586" s="135"/>
      <c r="F586" s="135"/>
      <c r="G586" s="135"/>
      <c r="H586" s="135"/>
      <c r="I586" s="135"/>
      <c r="J586" s="37"/>
    </row>
    <row r="587" spans="5:10">
      <c r="E587" s="135"/>
      <c r="F587" s="135"/>
      <c r="G587" s="135"/>
      <c r="H587" s="135"/>
      <c r="I587" s="135"/>
      <c r="J587" s="37"/>
    </row>
    <row r="588" spans="5:10">
      <c r="E588" s="135"/>
      <c r="F588" s="135"/>
      <c r="G588" s="135"/>
      <c r="H588" s="135"/>
      <c r="I588" s="135"/>
      <c r="J588" s="37"/>
    </row>
    <row r="589" spans="5:10">
      <c r="E589" s="135"/>
      <c r="F589" s="135"/>
      <c r="G589" s="135"/>
      <c r="H589" s="135"/>
      <c r="I589" s="135"/>
      <c r="J589" s="37"/>
    </row>
    <row r="590" spans="5:10">
      <c r="E590" s="135"/>
      <c r="F590" s="135"/>
      <c r="G590" s="135"/>
      <c r="H590" s="135"/>
      <c r="I590" s="135"/>
      <c r="J590" s="37"/>
    </row>
    <row r="591" spans="5:10">
      <c r="E591" s="135"/>
      <c r="F591" s="135"/>
      <c r="G591" s="135"/>
      <c r="H591" s="135"/>
      <c r="I591" s="135"/>
      <c r="J591" s="37"/>
    </row>
    <row r="592" spans="5:10">
      <c r="E592" s="135"/>
      <c r="F592" s="135"/>
      <c r="G592" s="135"/>
      <c r="H592" s="135"/>
      <c r="I592" s="135"/>
      <c r="J592" s="37"/>
    </row>
    <row r="593" spans="5:10">
      <c r="E593" s="135"/>
      <c r="F593" s="135"/>
      <c r="G593" s="135"/>
      <c r="H593" s="135"/>
      <c r="I593" s="135"/>
      <c r="J593" s="37"/>
    </row>
    <row r="594" spans="5:10">
      <c r="E594" s="135"/>
      <c r="F594" s="135"/>
      <c r="G594" s="135"/>
      <c r="H594" s="135"/>
      <c r="I594" s="135"/>
      <c r="J594" s="37"/>
    </row>
    <row r="595" spans="5:10">
      <c r="E595" s="135"/>
      <c r="F595" s="135"/>
      <c r="G595" s="135"/>
      <c r="H595" s="135"/>
      <c r="I595" s="135"/>
      <c r="J595" s="37"/>
    </row>
    <row r="596" spans="5:10">
      <c r="E596" s="135"/>
      <c r="F596" s="135"/>
      <c r="G596" s="135"/>
      <c r="H596" s="135"/>
      <c r="I596" s="135"/>
      <c r="J596" s="37"/>
    </row>
    <row r="597" spans="5:10">
      <c r="E597" s="135"/>
      <c r="F597" s="135"/>
      <c r="G597" s="135"/>
      <c r="H597" s="135"/>
      <c r="I597" s="135"/>
      <c r="J597" s="37"/>
    </row>
    <row r="598" spans="5:10">
      <c r="E598" s="135"/>
      <c r="F598" s="135"/>
      <c r="G598" s="135"/>
      <c r="H598" s="135"/>
      <c r="I598" s="135"/>
      <c r="J598" s="37"/>
    </row>
    <row r="599" spans="5:10">
      <c r="E599" s="135"/>
      <c r="F599" s="135"/>
      <c r="G599" s="135"/>
      <c r="H599" s="135"/>
      <c r="I599" s="135"/>
      <c r="J599" s="37"/>
    </row>
    <row r="600" spans="5:10">
      <c r="E600" s="135"/>
      <c r="F600" s="135"/>
      <c r="G600" s="135"/>
      <c r="H600" s="135"/>
      <c r="I600" s="135"/>
      <c r="J600" s="37"/>
    </row>
    <row r="601" spans="5:10">
      <c r="E601" s="135"/>
      <c r="F601" s="135"/>
      <c r="G601" s="135"/>
      <c r="H601" s="135"/>
      <c r="I601" s="135"/>
      <c r="J601" s="40"/>
    </row>
    <row r="602" spans="5:10">
      <c r="E602" s="135"/>
      <c r="F602" s="135"/>
      <c r="G602" s="135"/>
      <c r="H602" s="135"/>
      <c r="I602" s="135"/>
      <c r="J602" s="37"/>
    </row>
    <row r="603" spans="5:10">
      <c r="E603" s="135"/>
      <c r="F603" s="135"/>
      <c r="G603" s="135"/>
      <c r="H603" s="135"/>
      <c r="I603" s="135"/>
      <c r="J603" s="37"/>
    </row>
    <row r="604" spans="5:10">
      <c r="E604" s="135"/>
      <c r="F604" s="135"/>
      <c r="G604" s="135"/>
      <c r="H604" s="135"/>
      <c r="I604" s="135"/>
      <c r="J604" s="37"/>
    </row>
    <row r="605" spans="5:10">
      <c r="E605" s="135"/>
      <c r="F605" s="135"/>
      <c r="G605" s="135"/>
      <c r="H605" s="135"/>
      <c r="I605" s="135"/>
      <c r="J605" s="37"/>
    </row>
    <row r="606" spans="5:10">
      <c r="E606" s="135"/>
      <c r="F606" s="135"/>
      <c r="G606" s="135"/>
      <c r="H606" s="135"/>
      <c r="I606" s="135"/>
      <c r="J606" s="37"/>
    </row>
    <row r="607" spans="5:10">
      <c r="E607" s="135"/>
      <c r="F607" s="135"/>
      <c r="G607" s="135"/>
      <c r="H607" s="135"/>
      <c r="I607" s="135"/>
      <c r="J607" s="37"/>
    </row>
    <row r="608" spans="5:10">
      <c r="E608" s="135"/>
      <c r="F608" s="135"/>
      <c r="G608" s="135"/>
      <c r="H608" s="135"/>
      <c r="I608" s="135"/>
      <c r="J608" s="37"/>
    </row>
    <row r="609" spans="5:10">
      <c r="E609" s="135"/>
      <c r="F609" s="135"/>
      <c r="G609" s="135"/>
      <c r="H609" s="135"/>
      <c r="I609" s="135"/>
      <c r="J609" s="37"/>
    </row>
    <row r="610" spans="5:10">
      <c r="E610" s="135"/>
      <c r="F610" s="135"/>
      <c r="G610" s="135"/>
      <c r="H610" s="135"/>
      <c r="I610" s="135"/>
      <c r="J610" s="37"/>
    </row>
    <row r="611" spans="5:10">
      <c r="E611" s="135"/>
      <c r="F611" s="135"/>
      <c r="G611" s="135"/>
      <c r="H611" s="135"/>
      <c r="I611" s="135"/>
      <c r="J611" s="37"/>
    </row>
    <row r="612" spans="5:10">
      <c r="E612" s="135"/>
      <c r="F612" s="135"/>
      <c r="G612" s="135"/>
      <c r="H612" s="135"/>
      <c r="I612" s="135"/>
      <c r="J612" s="37"/>
    </row>
    <row r="613" spans="5:10">
      <c r="E613" s="135"/>
      <c r="F613" s="135"/>
      <c r="G613" s="135"/>
      <c r="H613" s="135"/>
      <c r="I613" s="135"/>
      <c r="J613" s="37"/>
    </row>
    <row r="614" spans="5:10">
      <c r="E614" s="135"/>
      <c r="F614" s="135"/>
      <c r="G614" s="135"/>
      <c r="H614" s="135"/>
      <c r="I614" s="135"/>
      <c r="J614" s="37"/>
    </row>
    <row r="615" spans="5:10">
      <c r="E615" s="135"/>
      <c r="F615" s="135"/>
      <c r="G615" s="135"/>
      <c r="H615" s="135"/>
      <c r="I615" s="135"/>
      <c r="J615" s="37"/>
    </row>
    <row r="616" spans="5:10">
      <c r="E616" s="135"/>
      <c r="F616" s="135"/>
      <c r="G616" s="135"/>
      <c r="H616" s="135"/>
      <c r="I616" s="135"/>
      <c r="J616" s="37"/>
    </row>
    <row r="617" spans="5:10">
      <c r="E617" s="135"/>
      <c r="F617" s="135"/>
      <c r="G617" s="135"/>
      <c r="H617" s="135"/>
      <c r="I617" s="135"/>
      <c r="J617" s="37"/>
    </row>
    <row r="618" spans="5:10">
      <c r="E618" s="135"/>
      <c r="F618" s="135"/>
      <c r="G618" s="135"/>
      <c r="H618" s="135"/>
      <c r="I618" s="135"/>
      <c r="J618" s="37"/>
    </row>
    <row r="619" spans="5:10">
      <c r="E619" s="135"/>
      <c r="F619" s="135"/>
      <c r="G619" s="135"/>
      <c r="H619" s="135"/>
      <c r="I619" s="135"/>
      <c r="J619" s="37"/>
    </row>
    <row r="620" spans="5:10">
      <c r="E620" s="135"/>
      <c r="F620" s="135"/>
      <c r="G620" s="135"/>
      <c r="H620" s="135"/>
      <c r="I620" s="135"/>
      <c r="J620" s="37"/>
    </row>
    <row r="621" spans="5:10">
      <c r="E621" s="135"/>
      <c r="F621" s="135"/>
      <c r="G621" s="135"/>
      <c r="H621" s="135"/>
      <c r="I621" s="135"/>
      <c r="J621" s="37"/>
    </row>
    <row r="622" spans="5:10">
      <c r="E622" s="135"/>
      <c r="F622" s="135"/>
      <c r="G622" s="135"/>
      <c r="H622" s="135"/>
      <c r="I622" s="135"/>
      <c r="J622" s="37"/>
    </row>
    <row r="623" spans="5:10">
      <c r="E623" s="135"/>
      <c r="F623" s="135"/>
      <c r="G623" s="135"/>
      <c r="H623" s="135"/>
      <c r="I623" s="135"/>
      <c r="J623" s="37"/>
    </row>
    <row r="624" spans="5:10">
      <c r="E624" s="135"/>
      <c r="F624" s="135"/>
      <c r="G624" s="135"/>
      <c r="H624" s="135"/>
      <c r="I624" s="135"/>
      <c r="J624" s="37"/>
    </row>
    <row r="625" spans="5:10">
      <c r="E625" s="135"/>
      <c r="F625" s="135"/>
      <c r="G625" s="135"/>
      <c r="H625" s="135"/>
      <c r="I625" s="135"/>
      <c r="J625" s="37"/>
    </row>
    <row r="626" spans="5:10">
      <c r="E626" s="135"/>
      <c r="F626" s="135"/>
      <c r="G626" s="135"/>
      <c r="H626" s="135"/>
      <c r="I626" s="135"/>
      <c r="J626" s="37"/>
    </row>
    <row r="627" spans="5:10">
      <c r="E627" s="135"/>
      <c r="F627" s="135"/>
      <c r="G627" s="135"/>
      <c r="H627" s="135"/>
      <c r="I627" s="135"/>
      <c r="J627" s="37"/>
    </row>
    <row r="628" spans="5:10">
      <c r="E628" s="135"/>
      <c r="F628" s="135"/>
      <c r="G628" s="135"/>
      <c r="H628" s="135"/>
      <c r="I628" s="135"/>
      <c r="J628" s="37"/>
    </row>
    <row r="629" spans="5:10">
      <c r="E629" s="135"/>
      <c r="F629" s="135"/>
      <c r="G629" s="135"/>
      <c r="H629" s="135"/>
      <c r="I629" s="135"/>
      <c r="J629" s="40"/>
    </row>
    <row r="630" spans="5:10">
      <c r="E630" s="135"/>
      <c r="F630" s="135"/>
      <c r="G630" s="135"/>
      <c r="H630" s="135"/>
      <c r="I630" s="135"/>
      <c r="J630" s="37"/>
    </row>
    <row r="631" spans="5:10">
      <c r="E631" s="135"/>
      <c r="F631" s="135"/>
      <c r="G631" s="135"/>
      <c r="H631" s="135"/>
      <c r="I631" s="135"/>
      <c r="J631" s="37"/>
    </row>
    <row r="632" spans="5:10">
      <c r="E632" s="135"/>
      <c r="F632" s="135"/>
      <c r="G632" s="135"/>
      <c r="H632" s="135"/>
      <c r="I632" s="135"/>
      <c r="J632" s="37"/>
    </row>
    <row r="633" spans="5:10">
      <c r="E633" s="135"/>
      <c r="F633" s="135"/>
      <c r="G633" s="135"/>
      <c r="H633" s="135"/>
      <c r="I633" s="135"/>
      <c r="J633" s="37"/>
    </row>
    <row r="634" spans="5:10">
      <c r="E634" s="135"/>
      <c r="F634" s="135"/>
      <c r="G634" s="135"/>
      <c r="H634" s="135"/>
      <c r="I634" s="135"/>
      <c r="J634" s="40"/>
    </row>
    <row r="635" spans="5:10">
      <c r="E635" s="135"/>
      <c r="F635" s="135"/>
      <c r="G635" s="135"/>
      <c r="H635" s="135"/>
      <c r="I635" s="135"/>
      <c r="J635" s="37"/>
    </row>
    <row r="636" spans="5:10">
      <c r="E636" s="135"/>
      <c r="F636" s="135"/>
      <c r="G636" s="135"/>
      <c r="H636" s="135"/>
      <c r="I636" s="135"/>
      <c r="J636" s="37"/>
    </row>
    <row r="637" spans="5:10">
      <c r="E637" s="135"/>
      <c r="F637" s="135"/>
      <c r="G637" s="135"/>
      <c r="H637" s="135"/>
      <c r="I637" s="135"/>
      <c r="J637" s="37"/>
    </row>
    <row r="638" spans="5:10">
      <c r="E638" s="135"/>
      <c r="F638" s="135"/>
      <c r="G638" s="135"/>
      <c r="H638" s="135"/>
      <c r="I638" s="135"/>
      <c r="J638" s="40"/>
    </row>
    <row r="639" spans="5:10">
      <c r="E639" s="135"/>
      <c r="F639" s="135"/>
      <c r="G639" s="135"/>
      <c r="H639" s="135"/>
      <c r="I639" s="135"/>
      <c r="J639" s="37"/>
    </row>
    <row r="640" spans="5:10">
      <c r="E640" s="135"/>
      <c r="F640" s="135"/>
      <c r="G640" s="135"/>
      <c r="H640" s="135"/>
      <c r="I640" s="135"/>
      <c r="J640" s="37"/>
    </row>
    <row r="641" spans="5:10">
      <c r="E641" s="135"/>
      <c r="F641" s="135"/>
      <c r="G641" s="135"/>
      <c r="H641" s="135"/>
      <c r="I641" s="135"/>
      <c r="J641" s="37"/>
    </row>
    <row r="642" spans="5:10">
      <c r="E642" s="135"/>
      <c r="F642" s="135"/>
      <c r="G642" s="135"/>
      <c r="H642" s="135"/>
      <c r="I642" s="135"/>
      <c r="J642" s="37"/>
    </row>
    <row r="643" spans="5:10">
      <c r="E643" s="135"/>
      <c r="F643" s="135"/>
      <c r="G643" s="135"/>
      <c r="H643" s="135"/>
      <c r="I643" s="135"/>
      <c r="J643" s="37"/>
    </row>
    <row r="644" spans="5:10">
      <c r="E644" s="135"/>
      <c r="F644" s="135"/>
      <c r="G644" s="135"/>
      <c r="H644" s="135"/>
      <c r="I644" s="135"/>
      <c r="J644" s="37"/>
    </row>
    <row r="645" spans="5:10">
      <c r="E645" s="135"/>
      <c r="F645" s="135"/>
      <c r="G645" s="135"/>
      <c r="H645" s="135"/>
      <c r="I645" s="135"/>
      <c r="J645" s="40"/>
    </row>
    <row r="646" spans="5:10">
      <c r="E646" s="135"/>
      <c r="F646" s="135"/>
      <c r="G646" s="135"/>
      <c r="H646" s="135"/>
      <c r="I646" s="135"/>
      <c r="J646" s="37"/>
    </row>
    <row r="647" spans="5:10">
      <c r="E647" s="135"/>
      <c r="F647" s="135"/>
      <c r="G647" s="135"/>
      <c r="H647" s="135"/>
      <c r="I647" s="135"/>
      <c r="J647" s="37"/>
    </row>
    <row r="648" spans="5:10">
      <c r="E648" s="135"/>
      <c r="F648" s="135"/>
      <c r="G648" s="135"/>
      <c r="H648" s="135"/>
      <c r="I648" s="135"/>
      <c r="J648" s="37"/>
    </row>
    <row r="649" spans="5:10">
      <c r="E649" s="135"/>
      <c r="F649" s="135"/>
      <c r="G649" s="135"/>
      <c r="H649" s="135"/>
      <c r="I649" s="135"/>
      <c r="J649" s="37"/>
    </row>
    <row r="650" spans="5:10">
      <c r="E650" s="135"/>
      <c r="F650" s="135"/>
      <c r="G650" s="135"/>
      <c r="H650" s="135"/>
      <c r="I650" s="135"/>
      <c r="J650" s="37"/>
    </row>
    <row r="651" spans="5:10">
      <c r="E651" s="135"/>
      <c r="F651" s="135"/>
      <c r="G651" s="135"/>
      <c r="H651" s="135"/>
      <c r="I651" s="135"/>
      <c r="J651" s="37"/>
    </row>
    <row r="652" spans="5:10">
      <c r="E652" s="135"/>
      <c r="F652" s="135"/>
      <c r="G652" s="135"/>
      <c r="H652" s="135"/>
      <c r="I652" s="135"/>
      <c r="J652" s="40"/>
    </row>
    <row r="653" spans="5:10">
      <c r="E653" s="135"/>
      <c r="F653" s="135"/>
      <c r="G653" s="135"/>
      <c r="H653" s="135"/>
      <c r="I653" s="135"/>
      <c r="J653" s="37"/>
    </row>
    <row r="654" spans="5:10">
      <c r="E654" s="135"/>
      <c r="F654" s="135"/>
      <c r="G654" s="135"/>
      <c r="H654" s="135"/>
      <c r="I654" s="135"/>
      <c r="J654" s="37"/>
    </row>
    <row r="655" spans="5:10">
      <c r="E655" s="135"/>
      <c r="F655" s="135"/>
      <c r="G655" s="135"/>
      <c r="H655" s="135"/>
      <c r="I655" s="135"/>
      <c r="J655" s="37"/>
    </row>
    <row r="656" spans="5:10">
      <c r="E656" s="135"/>
      <c r="F656" s="135"/>
      <c r="G656" s="135"/>
      <c r="H656" s="135"/>
      <c r="I656" s="135"/>
      <c r="J656" s="37"/>
    </row>
    <row r="657" spans="5:10">
      <c r="E657" s="135"/>
      <c r="F657" s="135"/>
      <c r="G657" s="135"/>
      <c r="H657" s="135"/>
      <c r="I657" s="135"/>
      <c r="J657" s="37"/>
    </row>
    <row r="658" spans="5:10">
      <c r="E658" s="135"/>
      <c r="F658" s="135"/>
      <c r="G658" s="135"/>
      <c r="H658" s="135"/>
      <c r="I658" s="135"/>
      <c r="J658" s="37"/>
    </row>
    <row r="659" spans="5:10">
      <c r="E659" s="135"/>
      <c r="F659" s="135"/>
      <c r="G659" s="135"/>
      <c r="H659" s="135"/>
      <c r="I659" s="135"/>
      <c r="J659" s="37"/>
    </row>
    <row r="660" spans="5:10">
      <c r="E660" s="135"/>
      <c r="F660" s="135"/>
      <c r="G660" s="135"/>
      <c r="H660" s="135"/>
      <c r="I660" s="135"/>
      <c r="J660" s="37"/>
    </row>
    <row r="661" spans="5:10">
      <c r="E661" s="135"/>
      <c r="F661" s="135"/>
      <c r="G661" s="135"/>
      <c r="H661" s="135"/>
      <c r="I661" s="135"/>
      <c r="J661" s="37"/>
    </row>
    <row r="662" spans="5:10">
      <c r="E662" s="135"/>
      <c r="F662" s="135"/>
      <c r="G662" s="135"/>
      <c r="H662" s="135"/>
      <c r="I662" s="135"/>
      <c r="J662" s="37"/>
    </row>
    <row r="663" spans="5:10">
      <c r="E663" s="135"/>
      <c r="F663" s="135"/>
      <c r="G663" s="135"/>
      <c r="H663" s="135"/>
      <c r="I663" s="135"/>
      <c r="J663" s="37"/>
    </row>
    <row r="664" spans="5:10">
      <c r="E664" s="135"/>
      <c r="F664" s="135"/>
      <c r="G664" s="135"/>
      <c r="H664" s="135"/>
      <c r="I664" s="135"/>
      <c r="J664" s="37"/>
    </row>
    <row r="665" spans="5:10">
      <c r="E665" s="135"/>
      <c r="F665" s="135"/>
      <c r="G665" s="135"/>
      <c r="H665" s="135"/>
      <c r="I665" s="135"/>
      <c r="J665" s="37"/>
    </row>
    <row r="666" spans="5:10">
      <c r="E666" s="135"/>
      <c r="F666" s="135"/>
      <c r="G666" s="135"/>
      <c r="H666" s="135"/>
      <c r="I666" s="135"/>
      <c r="J666" s="37"/>
    </row>
    <row r="667" spans="5:10">
      <c r="E667" s="135"/>
      <c r="F667" s="135"/>
      <c r="G667" s="135"/>
      <c r="H667" s="135"/>
      <c r="I667" s="135"/>
      <c r="J667" s="37"/>
    </row>
    <row r="668" spans="5:10">
      <c r="E668" s="135"/>
      <c r="F668" s="135"/>
      <c r="G668" s="135"/>
      <c r="H668" s="135"/>
      <c r="I668" s="135"/>
      <c r="J668" s="37"/>
    </row>
    <row r="669" spans="5:10">
      <c r="E669" s="135"/>
      <c r="F669" s="135"/>
      <c r="G669" s="135"/>
      <c r="H669" s="135"/>
      <c r="I669" s="135"/>
      <c r="J669" s="37"/>
    </row>
    <row r="670" spans="5:10">
      <c r="E670" s="135"/>
      <c r="F670" s="135"/>
      <c r="G670" s="135"/>
      <c r="H670" s="135"/>
      <c r="I670" s="135"/>
      <c r="J670" s="37"/>
    </row>
    <row r="671" spans="5:10">
      <c r="E671" s="135"/>
      <c r="F671" s="135"/>
      <c r="G671" s="135"/>
      <c r="H671" s="135"/>
      <c r="I671" s="135"/>
      <c r="J671" s="37"/>
    </row>
    <row r="672" spans="5:10">
      <c r="E672" s="135"/>
      <c r="F672" s="135"/>
      <c r="G672" s="135"/>
      <c r="H672" s="135"/>
      <c r="I672" s="135"/>
      <c r="J672" s="37"/>
    </row>
    <row r="673" spans="5:10">
      <c r="E673" s="135"/>
      <c r="F673" s="135"/>
      <c r="G673" s="135"/>
      <c r="H673" s="135"/>
      <c r="I673" s="135"/>
      <c r="J673" s="37"/>
    </row>
    <row r="674" spans="5:10">
      <c r="E674" s="135"/>
      <c r="F674" s="135"/>
      <c r="G674" s="135"/>
      <c r="H674" s="135"/>
      <c r="I674" s="135"/>
      <c r="J674" s="37"/>
    </row>
    <row r="675" spans="5:10">
      <c r="E675" s="135"/>
      <c r="F675" s="135"/>
      <c r="G675" s="135"/>
      <c r="H675" s="135"/>
      <c r="I675" s="135"/>
      <c r="J675" s="37"/>
    </row>
    <row r="676" spans="5:10">
      <c r="E676" s="135"/>
      <c r="F676" s="135"/>
      <c r="G676" s="135"/>
      <c r="H676" s="135"/>
      <c r="I676" s="135"/>
      <c r="J676" s="40"/>
    </row>
    <row r="677" spans="5:10">
      <c r="E677" s="135"/>
      <c r="F677" s="135"/>
      <c r="G677" s="135"/>
      <c r="H677" s="135"/>
      <c r="I677" s="135"/>
      <c r="J677" s="37"/>
    </row>
    <row r="678" spans="5:10">
      <c r="E678" s="135"/>
      <c r="F678" s="135"/>
      <c r="G678" s="135"/>
      <c r="H678" s="135"/>
      <c r="I678" s="135"/>
      <c r="J678" s="37"/>
    </row>
    <row r="679" spans="5:10">
      <c r="E679" s="135"/>
      <c r="F679" s="135"/>
      <c r="G679" s="135"/>
      <c r="H679" s="135"/>
      <c r="I679" s="135"/>
      <c r="J679" s="37"/>
    </row>
    <row r="680" spans="5:10">
      <c r="E680" s="135"/>
      <c r="F680" s="135"/>
      <c r="G680" s="135"/>
      <c r="H680" s="135"/>
      <c r="I680" s="135"/>
      <c r="J680" s="37"/>
    </row>
    <row r="681" spans="5:10">
      <c r="E681" s="135"/>
      <c r="F681" s="135"/>
      <c r="G681" s="135"/>
      <c r="H681" s="135"/>
      <c r="I681" s="135"/>
      <c r="J681" s="37"/>
    </row>
    <row r="682" spans="5:10">
      <c r="E682" s="135"/>
      <c r="F682" s="135"/>
      <c r="G682" s="135"/>
      <c r="H682" s="135"/>
      <c r="I682" s="135"/>
      <c r="J682" s="37"/>
    </row>
    <row r="683" spans="5:10">
      <c r="E683" s="135"/>
      <c r="F683" s="135"/>
      <c r="G683" s="135"/>
      <c r="H683" s="135"/>
      <c r="I683" s="135"/>
      <c r="J683" s="37"/>
    </row>
    <row r="684" spans="5:10">
      <c r="E684" s="135"/>
      <c r="F684" s="135"/>
      <c r="G684" s="135"/>
      <c r="H684" s="135"/>
      <c r="I684" s="135"/>
      <c r="J684" s="37"/>
    </row>
    <row r="685" spans="5:10">
      <c r="E685" s="135"/>
      <c r="F685" s="135"/>
      <c r="G685" s="135"/>
      <c r="H685" s="135"/>
      <c r="I685" s="135"/>
      <c r="J685" s="37"/>
    </row>
    <row r="686" spans="5:10">
      <c r="E686" s="135"/>
      <c r="F686" s="135"/>
      <c r="G686" s="135"/>
      <c r="H686" s="135"/>
      <c r="I686" s="135"/>
      <c r="J686" s="37"/>
    </row>
    <row r="687" spans="5:10">
      <c r="E687" s="135"/>
      <c r="F687" s="135"/>
      <c r="G687" s="135"/>
      <c r="H687" s="135"/>
      <c r="I687" s="135"/>
      <c r="J687" s="37"/>
    </row>
    <row r="688" spans="5:10">
      <c r="E688" s="135"/>
      <c r="F688" s="135"/>
      <c r="G688" s="135"/>
      <c r="H688" s="135"/>
      <c r="I688" s="135"/>
      <c r="J688" s="37"/>
    </row>
    <row r="689" spans="5:10">
      <c r="E689" s="135"/>
      <c r="F689" s="135"/>
      <c r="G689" s="135"/>
      <c r="H689" s="135"/>
      <c r="I689" s="135"/>
      <c r="J689" s="37"/>
    </row>
    <row r="690" spans="5:10">
      <c r="E690" s="135"/>
      <c r="F690" s="135"/>
      <c r="G690" s="135"/>
      <c r="H690" s="135"/>
      <c r="I690" s="135"/>
      <c r="J690" s="37"/>
    </row>
    <row r="691" spans="5:10">
      <c r="E691" s="135"/>
      <c r="F691" s="135"/>
      <c r="G691" s="135"/>
      <c r="H691" s="135"/>
      <c r="I691" s="135"/>
      <c r="J691" s="37"/>
    </row>
    <row r="692" spans="5:10">
      <c r="E692" s="135"/>
      <c r="F692" s="135"/>
      <c r="G692" s="135"/>
      <c r="H692" s="135"/>
      <c r="I692" s="135"/>
      <c r="J692" s="40"/>
    </row>
    <row r="693" spans="5:10">
      <c r="E693" s="135"/>
      <c r="F693" s="135"/>
      <c r="G693" s="135"/>
      <c r="H693" s="135"/>
      <c r="I693" s="135"/>
      <c r="J693" s="37"/>
    </row>
    <row r="694" spans="5:10">
      <c r="E694" s="135"/>
      <c r="F694" s="135"/>
      <c r="G694" s="135"/>
      <c r="H694" s="135"/>
      <c r="I694" s="135"/>
      <c r="J694" s="37"/>
    </row>
    <row r="695" spans="5:10">
      <c r="E695" s="135"/>
      <c r="F695" s="135"/>
      <c r="G695" s="135"/>
      <c r="H695" s="135"/>
      <c r="I695" s="135"/>
      <c r="J695" s="37"/>
    </row>
    <row r="696" spans="5:10">
      <c r="E696" s="135"/>
      <c r="F696" s="135"/>
      <c r="G696" s="135"/>
      <c r="H696" s="135"/>
      <c r="I696" s="135"/>
      <c r="J696" s="37"/>
    </row>
    <row r="697" spans="5:10">
      <c r="E697" s="135"/>
      <c r="F697" s="135"/>
      <c r="G697" s="135"/>
      <c r="H697" s="135"/>
      <c r="I697" s="135"/>
      <c r="J697" s="37"/>
    </row>
    <row r="698" spans="5:10">
      <c r="E698" s="135"/>
      <c r="F698" s="135"/>
      <c r="G698" s="135"/>
      <c r="H698" s="135"/>
      <c r="I698" s="135"/>
      <c r="J698" s="37"/>
    </row>
    <row r="699" spans="5:10">
      <c r="E699" s="135"/>
      <c r="F699" s="135"/>
      <c r="G699" s="135"/>
      <c r="H699" s="135"/>
      <c r="I699" s="135"/>
      <c r="J699" s="37"/>
    </row>
    <row r="700" spans="5:10">
      <c r="E700" s="135"/>
      <c r="F700" s="135"/>
      <c r="G700" s="135"/>
      <c r="H700" s="135"/>
      <c r="I700" s="135"/>
      <c r="J700" s="37"/>
    </row>
    <row r="701" spans="5:10">
      <c r="E701" s="135"/>
      <c r="F701" s="135"/>
      <c r="G701" s="135"/>
      <c r="H701" s="135"/>
      <c r="I701" s="135"/>
      <c r="J701" s="37"/>
    </row>
    <row r="702" spans="5:10">
      <c r="E702" s="135"/>
      <c r="F702" s="135"/>
      <c r="G702" s="135"/>
      <c r="H702" s="135"/>
      <c r="I702" s="135"/>
      <c r="J702" s="40"/>
    </row>
    <row r="703" spans="5:10">
      <c r="E703" s="135"/>
      <c r="F703" s="135"/>
      <c r="G703" s="135"/>
      <c r="H703" s="135"/>
      <c r="I703" s="135"/>
      <c r="J703" s="37"/>
    </row>
    <row r="704" spans="5:10">
      <c r="E704" s="135"/>
      <c r="F704" s="135"/>
      <c r="G704" s="135"/>
      <c r="H704" s="135"/>
      <c r="I704" s="135"/>
      <c r="J704" s="37"/>
    </row>
    <row r="705" spans="5:10">
      <c r="E705" s="135"/>
      <c r="F705" s="135"/>
      <c r="G705" s="135"/>
      <c r="H705" s="135"/>
      <c r="I705" s="135"/>
      <c r="J705" s="37"/>
    </row>
    <row r="706" spans="5:10">
      <c r="E706" s="135"/>
      <c r="F706" s="135"/>
      <c r="G706" s="135"/>
      <c r="H706" s="135"/>
      <c r="I706" s="135"/>
      <c r="J706" s="37"/>
    </row>
    <row r="707" spans="5:10">
      <c r="E707" s="135"/>
      <c r="F707" s="135"/>
      <c r="G707" s="135"/>
      <c r="H707" s="135"/>
      <c r="I707" s="135"/>
      <c r="J707" s="37"/>
    </row>
    <row r="708" spans="5:10">
      <c r="E708" s="135"/>
      <c r="F708" s="135"/>
      <c r="G708" s="135"/>
      <c r="H708" s="135"/>
      <c r="I708" s="135"/>
      <c r="J708" s="37"/>
    </row>
    <row r="709" spans="5:10">
      <c r="E709" s="135"/>
      <c r="F709" s="135"/>
      <c r="G709" s="135"/>
      <c r="H709" s="135"/>
      <c r="I709" s="135"/>
      <c r="J709" s="37"/>
    </row>
    <row r="710" spans="5:10">
      <c r="E710" s="135"/>
      <c r="F710" s="135"/>
      <c r="G710" s="135"/>
      <c r="H710" s="135"/>
      <c r="I710" s="135"/>
      <c r="J710" s="37"/>
    </row>
    <row r="711" spans="5:10">
      <c r="E711" s="135"/>
      <c r="F711" s="135"/>
      <c r="G711" s="135"/>
      <c r="H711" s="135"/>
      <c r="I711" s="135"/>
      <c r="J711" s="37"/>
    </row>
    <row r="712" spans="5:10">
      <c r="E712" s="135"/>
      <c r="F712" s="135"/>
      <c r="G712" s="135"/>
      <c r="H712" s="135"/>
      <c r="I712" s="135"/>
      <c r="J712" s="37"/>
    </row>
    <row r="713" spans="5:10">
      <c r="E713" s="135"/>
      <c r="F713" s="135"/>
      <c r="G713" s="135"/>
      <c r="H713" s="135"/>
      <c r="I713" s="135"/>
      <c r="J713" s="37"/>
    </row>
    <row r="714" spans="5:10">
      <c r="E714" s="135"/>
      <c r="F714" s="135"/>
      <c r="G714" s="135"/>
      <c r="H714" s="135"/>
      <c r="I714" s="135"/>
      <c r="J714" s="37"/>
    </row>
    <row r="715" spans="5:10">
      <c r="E715" s="135"/>
      <c r="F715" s="135"/>
      <c r="G715" s="135"/>
      <c r="H715" s="135"/>
      <c r="I715" s="135"/>
      <c r="J715" s="37"/>
    </row>
    <row r="716" spans="5:10">
      <c r="E716" s="135"/>
      <c r="F716" s="135"/>
      <c r="G716" s="135"/>
      <c r="H716" s="135"/>
      <c r="I716" s="135"/>
      <c r="J716" s="37"/>
    </row>
    <row r="717" spans="5:10">
      <c r="E717" s="135"/>
      <c r="F717" s="135"/>
      <c r="G717" s="135"/>
      <c r="H717" s="135"/>
      <c r="I717" s="135"/>
      <c r="J717" s="37"/>
    </row>
    <row r="718" spans="5:10">
      <c r="E718" s="135"/>
      <c r="F718" s="135"/>
      <c r="G718" s="135"/>
      <c r="H718" s="135"/>
      <c r="I718" s="135"/>
      <c r="J718" s="37"/>
    </row>
    <row r="719" spans="5:10">
      <c r="E719" s="135"/>
      <c r="F719" s="135"/>
      <c r="G719" s="135"/>
      <c r="H719" s="135"/>
      <c r="I719" s="135"/>
      <c r="J719" s="37"/>
    </row>
    <row r="720" spans="5:10">
      <c r="E720" s="135"/>
      <c r="F720" s="135"/>
      <c r="G720" s="135"/>
      <c r="H720" s="135"/>
      <c r="I720" s="135"/>
      <c r="J720" s="37"/>
    </row>
    <row r="721" spans="5:10">
      <c r="E721" s="135"/>
      <c r="F721" s="135"/>
      <c r="G721" s="135"/>
      <c r="H721" s="135"/>
      <c r="I721" s="135"/>
      <c r="J721" s="37"/>
    </row>
    <row r="722" spans="5:10">
      <c r="E722" s="135"/>
      <c r="F722" s="135"/>
      <c r="G722" s="135"/>
      <c r="H722" s="135"/>
      <c r="I722" s="135"/>
      <c r="J722" s="37"/>
    </row>
    <row r="723" spans="5:10">
      <c r="E723" s="135"/>
      <c r="F723" s="135"/>
      <c r="G723" s="135"/>
      <c r="H723" s="135"/>
      <c r="I723" s="135"/>
      <c r="J723" s="37"/>
    </row>
    <row r="724" spans="5:10">
      <c r="E724" s="135"/>
      <c r="F724" s="135"/>
      <c r="G724" s="135"/>
      <c r="H724" s="135"/>
      <c r="I724" s="135"/>
      <c r="J724" s="37"/>
    </row>
    <row r="725" spans="5:10">
      <c r="E725" s="135"/>
      <c r="F725" s="135"/>
      <c r="G725" s="135"/>
      <c r="H725" s="135"/>
      <c r="I725" s="135"/>
      <c r="J725" s="37"/>
    </row>
    <row r="726" spans="5:10">
      <c r="E726" s="135"/>
      <c r="F726" s="135"/>
      <c r="G726" s="135"/>
      <c r="H726" s="135"/>
      <c r="I726" s="135"/>
      <c r="J726" s="37"/>
    </row>
    <row r="727" spans="5:10">
      <c r="E727" s="135"/>
      <c r="F727" s="135"/>
      <c r="G727" s="135"/>
      <c r="H727" s="135"/>
      <c r="I727" s="135"/>
      <c r="J727" s="40"/>
    </row>
    <row r="728" spans="5:10">
      <c r="E728" s="135"/>
      <c r="F728" s="135"/>
      <c r="G728" s="135"/>
      <c r="H728" s="135"/>
      <c r="I728" s="135"/>
      <c r="J728" s="37"/>
    </row>
    <row r="729" spans="5:10">
      <c r="E729" s="135"/>
      <c r="F729" s="135"/>
      <c r="G729" s="135"/>
      <c r="H729" s="135"/>
      <c r="I729" s="135"/>
      <c r="J729" s="37"/>
    </row>
    <row r="730" spans="5:10">
      <c r="E730" s="135"/>
      <c r="F730" s="135"/>
      <c r="G730" s="135"/>
      <c r="H730" s="135"/>
      <c r="I730" s="135"/>
      <c r="J730" s="37"/>
    </row>
    <row r="731" spans="5:10">
      <c r="E731" s="135"/>
      <c r="F731" s="135"/>
      <c r="G731" s="135"/>
      <c r="H731" s="135"/>
      <c r="I731" s="135"/>
      <c r="J731" s="37"/>
    </row>
    <row r="732" spans="5:10">
      <c r="E732" s="135"/>
      <c r="F732" s="135"/>
      <c r="G732" s="135"/>
      <c r="H732" s="135"/>
      <c r="I732" s="135"/>
      <c r="J732" s="37"/>
    </row>
    <row r="733" spans="5:10">
      <c r="E733" s="135"/>
      <c r="F733" s="135"/>
      <c r="G733" s="135"/>
      <c r="H733" s="135"/>
      <c r="I733" s="135"/>
      <c r="J733" s="37"/>
    </row>
    <row r="734" spans="5:10">
      <c r="E734" s="135"/>
      <c r="F734" s="135"/>
      <c r="G734" s="135"/>
      <c r="H734" s="135"/>
      <c r="I734" s="135"/>
      <c r="J734" s="37"/>
    </row>
    <row r="735" spans="5:10">
      <c r="E735" s="135"/>
      <c r="F735" s="135"/>
      <c r="G735" s="135"/>
      <c r="H735" s="135"/>
      <c r="I735" s="135"/>
      <c r="J735" s="40"/>
    </row>
    <row r="736" spans="5:10">
      <c r="E736" s="135"/>
      <c r="F736" s="135"/>
      <c r="G736" s="135"/>
      <c r="H736" s="135"/>
      <c r="I736" s="135"/>
      <c r="J736" s="37"/>
    </row>
    <row r="737" spans="5:10">
      <c r="E737" s="135"/>
      <c r="F737" s="135"/>
      <c r="G737" s="135"/>
      <c r="H737" s="135"/>
      <c r="I737" s="135"/>
      <c r="J737" s="37"/>
    </row>
    <row r="738" spans="5:10">
      <c r="E738" s="135"/>
      <c r="F738" s="135"/>
      <c r="G738" s="135"/>
      <c r="H738" s="135"/>
      <c r="I738" s="135"/>
      <c r="J738" s="37"/>
    </row>
    <row r="739" spans="5:10">
      <c r="E739" s="135"/>
      <c r="F739" s="135"/>
      <c r="G739" s="135"/>
      <c r="H739" s="135"/>
      <c r="I739" s="135"/>
      <c r="J739" s="37"/>
    </row>
    <row r="740" spans="5:10">
      <c r="E740" s="135"/>
      <c r="F740" s="135"/>
      <c r="G740" s="135"/>
      <c r="H740" s="135"/>
      <c r="I740" s="135"/>
      <c r="J740" s="37"/>
    </row>
    <row r="741" spans="5:10">
      <c r="E741" s="135"/>
      <c r="F741" s="135"/>
      <c r="G741" s="135"/>
      <c r="H741" s="135"/>
      <c r="I741" s="135"/>
      <c r="J741" s="37"/>
    </row>
    <row r="742" spans="5:10">
      <c r="E742" s="135"/>
      <c r="F742" s="135"/>
      <c r="G742" s="135"/>
      <c r="H742" s="135"/>
      <c r="I742" s="135"/>
      <c r="J742" s="37"/>
    </row>
    <row r="743" spans="5:10">
      <c r="E743" s="135"/>
      <c r="F743" s="135"/>
      <c r="G743" s="135"/>
      <c r="H743" s="135"/>
      <c r="I743" s="135"/>
      <c r="J743" s="37"/>
    </row>
    <row r="744" spans="5:10">
      <c r="E744" s="135"/>
      <c r="F744" s="135"/>
      <c r="G744" s="135"/>
      <c r="H744" s="135"/>
      <c r="I744" s="135"/>
      <c r="J744" s="37"/>
    </row>
    <row r="745" spans="5:10">
      <c r="E745" s="135"/>
      <c r="F745" s="135"/>
      <c r="G745" s="135"/>
      <c r="H745" s="135"/>
      <c r="I745" s="135"/>
      <c r="J745" s="37"/>
    </row>
    <row r="746" spans="5:10">
      <c r="E746" s="135"/>
      <c r="F746" s="135"/>
      <c r="G746" s="135"/>
      <c r="H746" s="135"/>
      <c r="I746" s="135"/>
      <c r="J746" s="37"/>
    </row>
    <row r="747" spans="5:10">
      <c r="E747" s="135"/>
      <c r="F747" s="135"/>
      <c r="G747" s="135"/>
      <c r="H747" s="135"/>
      <c r="I747" s="135"/>
      <c r="J747" s="37"/>
    </row>
    <row r="748" spans="5:10">
      <c r="E748" s="135"/>
      <c r="F748" s="135"/>
      <c r="G748" s="135"/>
      <c r="H748" s="135"/>
      <c r="I748" s="135"/>
      <c r="J748" s="37"/>
    </row>
    <row r="749" spans="5:10">
      <c r="E749" s="135"/>
      <c r="F749" s="135"/>
      <c r="G749" s="135"/>
      <c r="H749" s="135"/>
      <c r="I749" s="135"/>
      <c r="J749" s="37"/>
    </row>
    <row r="750" spans="5:10">
      <c r="E750" s="135"/>
      <c r="F750" s="135"/>
      <c r="G750" s="135"/>
      <c r="H750" s="135"/>
      <c r="I750" s="135"/>
      <c r="J750" s="37"/>
    </row>
    <row r="751" spans="5:10">
      <c r="E751" s="135"/>
      <c r="F751" s="135"/>
      <c r="G751" s="135"/>
      <c r="H751" s="135"/>
      <c r="I751" s="135"/>
      <c r="J751" s="37"/>
    </row>
    <row r="752" spans="5:10">
      <c r="E752" s="135"/>
      <c r="F752" s="135"/>
      <c r="G752" s="135"/>
      <c r="H752" s="135"/>
      <c r="I752" s="135"/>
      <c r="J752" s="37"/>
    </row>
    <row r="753" spans="5:10">
      <c r="E753" s="135"/>
      <c r="F753" s="135"/>
      <c r="G753" s="135"/>
      <c r="H753" s="135"/>
      <c r="I753" s="135"/>
      <c r="J753" s="40"/>
    </row>
    <row r="754" spans="5:10">
      <c r="E754" s="135"/>
      <c r="F754" s="135"/>
      <c r="G754" s="135"/>
      <c r="H754" s="135"/>
      <c r="I754" s="135"/>
      <c r="J754" s="37"/>
    </row>
    <row r="755" spans="5:10">
      <c r="E755" s="135"/>
      <c r="F755" s="135"/>
      <c r="G755" s="135"/>
      <c r="H755" s="135"/>
      <c r="I755" s="135"/>
      <c r="J755" s="37"/>
    </row>
    <row r="756" spans="5:10">
      <c r="E756" s="135"/>
      <c r="F756" s="135"/>
      <c r="G756" s="135"/>
      <c r="H756" s="135"/>
      <c r="I756" s="135"/>
      <c r="J756" s="37"/>
    </row>
    <row r="757" spans="5:10">
      <c r="E757" s="135"/>
      <c r="F757" s="135"/>
      <c r="G757" s="135"/>
      <c r="H757" s="135"/>
      <c r="I757" s="135"/>
      <c r="J757" s="37"/>
    </row>
    <row r="758" spans="5:10">
      <c r="E758" s="135"/>
      <c r="F758" s="135"/>
      <c r="G758" s="135"/>
      <c r="H758" s="135"/>
      <c r="I758" s="135"/>
      <c r="J758" s="37"/>
    </row>
    <row r="759" spans="5:10">
      <c r="E759" s="135"/>
      <c r="F759" s="135"/>
      <c r="G759" s="135"/>
      <c r="H759" s="135"/>
      <c r="I759" s="135"/>
      <c r="J759" s="37"/>
    </row>
    <row r="760" spans="5:10">
      <c r="E760" s="135"/>
      <c r="F760" s="135"/>
      <c r="G760" s="135"/>
      <c r="H760" s="135"/>
      <c r="I760" s="135"/>
      <c r="J760" s="37"/>
    </row>
    <row r="761" spans="5:10">
      <c r="E761" s="135"/>
      <c r="F761" s="135"/>
      <c r="G761" s="135"/>
      <c r="H761" s="135"/>
      <c r="I761" s="135"/>
      <c r="J761" s="37"/>
    </row>
    <row r="762" spans="5:10">
      <c r="E762" s="135"/>
      <c r="F762" s="135"/>
      <c r="G762" s="135"/>
      <c r="H762" s="135"/>
      <c r="I762" s="135"/>
      <c r="J762" s="37"/>
    </row>
    <row r="763" spans="5:10">
      <c r="E763" s="135"/>
      <c r="F763" s="135"/>
      <c r="G763" s="135"/>
      <c r="H763" s="135"/>
      <c r="I763" s="135"/>
      <c r="J763" s="40"/>
    </row>
    <row r="764" spans="5:10">
      <c r="E764" s="135"/>
      <c r="F764" s="135"/>
      <c r="G764" s="135"/>
      <c r="H764" s="135"/>
      <c r="I764" s="135"/>
      <c r="J764" s="37"/>
    </row>
    <row r="765" spans="5:10">
      <c r="E765" s="135"/>
      <c r="F765" s="135"/>
      <c r="G765" s="135"/>
      <c r="H765" s="135"/>
      <c r="I765" s="135"/>
      <c r="J765" s="37"/>
    </row>
    <row r="766" spans="5:10">
      <c r="E766" s="135"/>
      <c r="F766" s="135"/>
      <c r="G766" s="135"/>
      <c r="H766" s="135"/>
      <c r="I766" s="135"/>
      <c r="J766" s="37"/>
    </row>
    <row r="767" spans="5:10">
      <c r="E767" s="135"/>
      <c r="F767" s="135"/>
      <c r="G767" s="135"/>
      <c r="H767" s="135"/>
      <c r="I767" s="135"/>
      <c r="J767" s="37"/>
    </row>
    <row r="768" spans="5:10">
      <c r="E768" s="135"/>
      <c r="F768" s="135"/>
      <c r="G768" s="135"/>
      <c r="H768" s="135"/>
      <c r="I768" s="135"/>
      <c r="J768" s="37"/>
    </row>
    <row r="769" spans="5:10">
      <c r="E769" s="135"/>
      <c r="F769" s="135"/>
      <c r="G769" s="135"/>
      <c r="H769" s="135"/>
      <c r="I769" s="135"/>
      <c r="J769" s="37"/>
    </row>
    <row r="770" spans="5:10">
      <c r="E770" s="135"/>
      <c r="F770" s="135"/>
      <c r="G770" s="135"/>
      <c r="H770" s="135"/>
      <c r="I770" s="135"/>
      <c r="J770" s="37"/>
    </row>
    <row r="771" spans="5:10">
      <c r="E771" s="135"/>
      <c r="F771" s="135"/>
      <c r="G771" s="135"/>
      <c r="H771" s="135"/>
      <c r="I771" s="135"/>
      <c r="J771" s="37"/>
    </row>
    <row r="772" spans="5:10">
      <c r="E772" s="135"/>
      <c r="F772" s="135"/>
      <c r="G772" s="135"/>
      <c r="H772" s="135"/>
      <c r="I772" s="135"/>
      <c r="J772" s="37"/>
    </row>
    <row r="773" spans="5:10">
      <c r="E773" s="135"/>
      <c r="F773" s="135"/>
      <c r="G773" s="135"/>
      <c r="H773" s="135"/>
      <c r="I773" s="135"/>
      <c r="J773" s="37"/>
    </row>
    <row r="774" spans="5:10">
      <c r="E774" s="135"/>
      <c r="F774" s="135"/>
      <c r="G774" s="135"/>
      <c r="H774" s="135"/>
      <c r="I774" s="135"/>
      <c r="J774" s="37"/>
    </row>
    <row r="775" spans="5:10">
      <c r="E775" s="135"/>
      <c r="F775" s="135"/>
      <c r="G775" s="135"/>
      <c r="H775" s="135"/>
      <c r="I775" s="135"/>
      <c r="J775" s="37"/>
    </row>
    <row r="776" spans="5:10">
      <c r="E776" s="135"/>
      <c r="F776" s="135"/>
      <c r="G776" s="135"/>
      <c r="H776" s="135"/>
      <c r="I776" s="135"/>
      <c r="J776" s="37"/>
    </row>
    <row r="777" spans="5:10">
      <c r="E777" s="135"/>
      <c r="F777" s="135"/>
      <c r="G777" s="135"/>
      <c r="H777" s="135"/>
      <c r="I777" s="135"/>
      <c r="J777" s="37"/>
    </row>
    <row r="778" spans="5:10">
      <c r="E778" s="135"/>
      <c r="F778" s="135"/>
      <c r="G778" s="135"/>
      <c r="H778" s="135"/>
      <c r="I778" s="135"/>
      <c r="J778" s="37"/>
    </row>
    <row r="779" spans="5:10">
      <c r="E779" s="135"/>
      <c r="F779" s="135"/>
      <c r="G779" s="135"/>
      <c r="H779" s="135"/>
      <c r="I779" s="135"/>
      <c r="J779" s="37"/>
    </row>
    <row r="780" spans="5:10">
      <c r="E780" s="135"/>
      <c r="F780" s="135"/>
      <c r="G780" s="135"/>
      <c r="H780" s="135"/>
      <c r="I780" s="135"/>
      <c r="J780" s="37"/>
    </row>
    <row r="781" spans="5:10">
      <c r="E781" s="135"/>
      <c r="F781" s="135"/>
      <c r="G781" s="135"/>
      <c r="H781" s="135"/>
      <c r="I781" s="135"/>
      <c r="J781" s="37"/>
    </row>
    <row r="782" spans="5:10">
      <c r="E782" s="135"/>
      <c r="F782" s="135"/>
      <c r="G782" s="135"/>
      <c r="H782" s="135"/>
      <c r="I782" s="135"/>
      <c r="J782" s="37"/>
    </row>
    <row r="783" spans="5:10">
      <c r="E783" s="135"/>
      <c r="F783" s="135"/>
      <c r="G783" s="135"/>
      <c r="H783" s="135"/>
      <c r="I783" s="135"/>
      <c r="J783" s="37"/>
    </row>
    <row r="784" spans="5:10">
      <c r="E784" s="135"/>
      <c r="F784" s="135"/>
      <c r="G784" s="135"/>
      <c r="H784" s="135"/>
      <c r="I784" s="135"/>
      <c r="J784" s="37"/>
    </row>
    <row r="785" spans="5:10">
      <c r="E785" s="135"/>
      <c r="F785" s="135"/>
      <c r="G785" s="135"/>
      <c r="H785" s="135"/>
      <c r="I785" s="135"/>
      <c r="J785" s="37"/>
    </row>
    <row r="786" spans="5:10">
      <c r="E786" s="135"/>
      <c r="F786" s="135"/>
      <c r="G786" s="135"/>
      <c r="H786" s="135"/>
      <c r="I786" s="135"/>
      <c r="J786" s="40"/>
    </row>
    <row r="787" spans="5:10">
      <c r="E787" s="135"/>
      <c r="F787" s="135"/>
      <c r="G787" s="135"/>
      <c r="H787" s="135"/>
      <c r="I787" s="135"/>
      <c r="J787" s="37"/>
    </row>
    <row r="788" spans="5:10">
      <c r="E788" s="135"/>
      <c r="F788" s="135"/>
      <c r="G788" s="135"/>
      <c r="H788" s="135"/>
      <c r="I788" s="135"/>
      <c r="J788" s="37"/>
    </row>
    <row r="789" spans="5:10">
      <c r="E789" s="135"/>
      <c r="F789" s="135"/>
      <c r="G789" s="135"/>
      <c r="H789" s="135"/>
      <c r="I789" s="135"/>
      <c r="J789" s="37"/>
    </row>
    <row r="790" spans="5:10">
      <c r="E790" s="135"/>
      <c r="F790" s="135"/>
      <c r="G790" s="135"/>
      <c r="H790" s="135"/>
      <c r="I790" s="135"/>
      <c r="J790" s="37"/>
    </row>
    <row r="791" spans="5:10">
      <c r="E791" s="135"/>
      <c r="F791" s="135"/>
      <c r="G791" s="135"/>
      <c r="H791" s="135"/>
      <c r="I791" s="135"/>
      <c r="J791" s="37"/>
    </row>
    <row r="792" spans="5:10">
      <c r="E792" s="135"/>
      <c r="F792" s="135"/>
      <c r="G792" s="135"/>
      <c r="H792" s="135"/>
      <c r="I792" s="135"/>
      <c r="J792" s="37"/>
    </row>
    <row r="793" spans="5:10">
      <c r="E793" s="135"/>
      <c r="F793" s="135"/>
      <c r="G793" s="135"/>
      <c r="H793" s="135"/>
      <c r="I793" s="135"/>
      <c r="J793" s="37"/>
    </row>
    <row r="794" spans="5:10">
      <c r="E794" s="135"/>
      <c r="F794" s="135"/>
      <c r="G794" s="135"/>
      <c r="H794" s="135"/>
      <c r="I794" s="135"/>
      <c r="J794" s="37"/>
    </row>
    <row r="795" spans="5:10">
      <c r="E795" s="135"/>
      <c r="F795" s="135"/>
      <c r="G795" s="135"/>
      <c r="H795" s="135"/>
      <c r="I795" s="135"/>
      <c r="J795" s="37"/>
    </row>
    <row r="796" spans="5:10">
      <c r="E796" s="135"/>
      <c r="F796" s="135"/>
      <c r="G796" s="135"/>
      <c r="H796" s="135"/>
      <c r="I796" s="135"/>
      <c r="J796" s="40"/>
    </row>
    <row r="797" spans="5:10">
      <c r="E797" s="135"/>
      <c r="F797" s="135"/>
      <c r="G797" s="135"/>
      <c r="H797" s="135"/>
      <c r="I797" s="135"/>
      <c r="J797" s="37"/>
    </row>
    <row r="798" spans="5:10">
      <c r="E798" s="135"/>
      <c r="F798" s="135"/>
      <c r="G798" s="135"/>
      <c r="H798" s="135"/>
      <c r="I798" s="135"/>
      <c r="J798" s="37"/>
    </row>
    <row r="799" spans="5:10">
      <c r="E799" s="135"/>
      <c r="F799" s="135"/>
      <c r="G799" s="135"/>
      <c r="H799" s="135"/>
      <c r="I799" s="135"/>
      <c r="J799" s="37"/>
    </row>
    <row r="800" spans="5:10">
      <c r="E800" s="135"/>
      <c r="F800" s="135"/>
      <c r="G800" s="135"/>
      <c r="H800" s="135"/>
      <c r="I800" s="135"/>
      <c r="J800" s="37"/>
    </row>
    <row r="801" spans="5:10">
      <c r="E801" s="135"/>
      <c r="F801" s="135"/>
      <c r="G801" s="135"/>
      <c r="H801" s="135"/>
      <c r="I801" s="135"/>
      <c r="J801" s="37"/>
    </row>
    <row r="802" spans="5:10">
      <c r="E802" s="135"/>
      <c r="F802" s="135"/>
      <c r="G802" s="135"/>
      <c r="H802" s="135"/>
      <c r="I802" s="135"/>
      <c r="J802" s="37"/>
    </row>
    <row r="803" spans="5:10">
      <c r="E803" s="135"/>
      <c r="F803" s="135"/>
      <c r="G803" s="135"/>
      <c r="H803" s="135"/>
      <c r="I803" s="135"/>
      <c r="J803" s="37"/>
    </row>
    <row r="804" spans="5:10">
      <c r="E804" s="135"/>
      <c r="F804" s="135"/>
      <c r="G804" s="135"/>
      <c r="H804" s="135"/>
      <c r="I804" s="135"/>
      <c r="J804" s="40"/>
    </row>
    <row r="805" spans="5:10">
      <c r="E805" s="135"/>
      <c r="F805" s="135"/>
      <c r="G805" s="135"/>
      <c r="H805" s="135"/>
      <c r="I805" s="135"/>
      <c r="J805" s="37"/>
    </row>
    <row r="806" spans="5:10">
      <c r="E806" s="135"/>
      <c r="F806" s="135"/>
      <c r="G806" s="135"/>
      <c r="H806" s="135"/>
      <c r="I806" s="135"/>
      <c r="J806" s="40"/>
    </row>
    <row r="807" spans="5:10">
      <c r="E807" s="135"/>
      <c r="F807" s="135"/>
      <c r="G807" s="135"/>
      <c r="H807" s="135"/>
      <c r="I807" s="135"/>
      <c r="J807" s="40"/>
    </row>
    <row r="808" spans="5:10">
      <c r="E808" s="135"/>
      <c r="F808" s="135"/>
      <c r="G808" s="135"/>
      <c r="H808" s="135"/>
      <c r="I808" s="135"/>
      <c r="J808" s="40"/>
    </row>
    <row r="809" spans="5:10">
      <c r="E809" s="135"/>
      <c r="F809" s="135"/>
      <c r="G809" s="135"/>
      <c r="H809" s="135"/>
      <c r="I809" s="135"/>
      <c r="J809" s="37"/>
    </row>
    <row r="810" spans="5:10">
      <c r="E810" s="135"/>
      <c r="F810" s="135"/>
      <c r="G810" s="135"/>
      <c r="H810" s="135"/>
      <c r="I810" s="135"/>
      <c r="J810" s="37"/>
    </row>
    <row r="811" spans="5:10">
      <c r="E811" s="135"/>
      <c r="F811" s="135"/>
      <c r="G811" s="135"/>
      <c r="H811" s="135"/>
      <c r="I811" s="135"/>
      <c r="J811" s="37"/>
    </row>
    <row r="812" spans="5:10">
      <c r="E812" s="135"/>
      <c r="F812" s="135"/>
      <c r="G812" s="135"/>
      <c r="H812" s="135"/>
      <c r="I812" s="135"/>
      <c r="J812" s="40"/>
    </row>
    <row r="813" spans="5:10">
      <c r="E813" s="135"/>
      <c r="F813" s="135"/>
      <c r="G813" s="135"/>
      <c r="H813" s="135"/>
      <c r="I813" s="135"/>
      <c r="J813" s="37"/>
    </row>
    <row r="814" spans="5:10">
      <c r="E814" s="135"/>
      <c r="F814" s="135"/>
      <c r="G814" s="135"/>
      <c r="H814" s="135"/>
      <c r="I814" s="135"/>
      <c r="J814" s="37"/>
    </row>
    <row r="815" spans="5:10">
      <c r="E815" s="135"/>
      <c r="F815" s="135"/>
      <c r="G815" s="135"/>
      <c r="H815" s="135"/>
      <c r="I815" s="135"/>
      <c r="J815" s="37"/>
    </row>
    <row r="816" spans="5:10">
      <c r="E816" s="135"/>
      <c r="F816" s="135"/>
      <c r="G816" s="135"/>
      <c r="H816" s="135"/>
      <c r="I816" s="135"/>
      <c r="J816" s="37"/>
    </row>
    <row r="817" spans="5:10">
      <c r="E817" s="135"/>
      <c r="F817" s="135"/>
      <c r="G817" s="135"/>
      <c r="H817" s="135"/>
      <c r="I817" s="135"/>
      <c r="J817" s="37"/>
    </row>
    <row r="818" spans="5:10">
      <c r="E818" s="135"/>
      <c r="F818" s="135"/>
      <c r="G818" s="135"/>
      <c r="H818" s="135"/>
      <c r="I818" s="135"/>
      <c r="J818" s="37"/>
    </row>
    <row r="819" spans="5:10">
      <c r="E819" s="135"/>
      <c r="F819" s="135"/>
      <c r="G819" s="135"/>
      <c r="H819" s="135"/>
      <c r="I819" s="135"/>
      <c r="J819" s="37"/>
    </row>
    <row r="820" spans="5:10">
      <c r="E820" s="135"/>
      <c r="F820" s="135"/>
      <c r="G820" s="135"/>
      <c r="H820" s="135"/>
      <c r="I820" s="135"/>
      <c r="J820" s="37"/>
    </row>
    <row r="821" spans="5:10">
      <c r="E821" s="135"/>
      <c r="F821" s="135"/>
      <c r="G821" s="135"/>
      <c r="H821" s="135"/>
      <c r="I821" s="135"/>
      <c r="J821" s="37"/>
    </row>
    <row r="822" spans="5:10">
      <c r="E822" s="135"/>
      <c r="F822" s="135"/>
      <c r="G822" s="135"/>
      <c r="H822" s="135"/>
      <c r="I822" s="135"/>
      <c r="J822" s="37"/>
    </row>
    <row r="823" spans="5:10">
      <c r="E823" s="135"/>
      <c r="F823" s="135"/>
      <c r="G823" s="135"/>
      <c r="H823" s="135"/>
      <c r="I823" s="135"/>
      <c r="J823" s="40"/>
    </row>
    <row r="824" spans="5:10">
      <c r="E824" s="135"/>
      <c r="F824" s="135"/>
      <c r="G824" s="135"/>
      <c r="H824" s="135"/>
      <c r="I824" s="135"/>
      <c r="J824" s="37"/>
    </row>
    <row r="825" spans="5:10">
      <c r="E825" s="135"/>
      <c r="F825" s="135"/>
      <c r="G825" s="135"/>
      <c r="H825" s="135"/>
      <c r="I825" s="135"/>
      <c r="J825" s="37"/>
    </row>
    <row r="826" spans="5:10">
      <c r="E826" s="135"/>
      <c r="F826" s="135"/>
      <c r="G826" s="135"/>
      <c r="H826" s="135"/>
      <c r="I826" s="135"/>
      <c r="J826" s="37"/>
    </row>
    <row r="827" spans="5:10">
      <c r="E827" s="135"/>
      <c r="F827" s="135"/>
      <c r="G827" s="135"/>
      <c r="H827" s="135"/>
      <c r="I827" s="135"/>
      <c r="J827" s="37"/>
    </row>
    <row r="828" spans="5:10">
      <c r="E828" s="135"/>
      <c r="F828" s="135"/>
      <c r="G828" s="135"/>
      <c r="H828" s="135"/>
      <c r="I828" s="135"/>
      <c r="J828" s="37"/>
    </row>
    <row r="829" spans="5:10">
      <c r="E829" s="135"/>
      <c r="F829" s="135"/>
      <c r="G829" s="135"/>
      <c r="H829" s="135"/>
      <c r="I829" s="135"/>
      <c r="J829" s="40"/>
    </row>
    <row r="830" spans="5:10">
      <c r="E830" s="135"/>
      <c r="F830" s="135"/>
      <c r="G830" s="135"/>
      <c r="H830" s="135"/>
      <c r="I830" s="135"/>
      <c r="J830" s="37"/>
    </row>
    <row r="831" spans="5:10">
      <c r="E831" s="135"/>
      <c r="F831" s="135"/>
      <c r="G831" s="135"/>
      <c r="H831" s="135"/>
      <c r="I831" s="135"/>
      <c r="J831" s="37"/>
    </row>
    <row r="832" spans="5:10">
      <c r="E832" s="135"/>
      <c r="F832" s="135"/>
      <c r="G832" s="135"/>
      <c r="H832" s="135"/>
      <c r="I832" s="135"/>
      <c r="J832" s="37"/>
    </row>
    <row r="833" spans="5:10">
      <c r="E833" s="135"/>
      <c r="F833" s="135"/>
      <c r="G833" s="135"/>
      <c r="H833" s="135"/>
      <c r="I833" s="135"/>
      <c r="J833" s="37"/>
    </row>
    <row r="834" spans="5:10">
      <c r="E834" s="135"/>
      <c r="F834" s="135"/>
      <c r="G834" s="135"/>
      <c r="H834" s="135"/>
      <c r="I834" s="135"/>
      <c r="J834" s="37"/>
    </row>
    <row r="835" spans="5:10">
      <c r="E835" s="135"/>
      <c r="F835" s="135"/>
      <c r="G835" s="135"/>
      <c r="H835" s="135"/>
      <c r="I835" s="135"/>
      <c r="J835" s="37"/>
    </row>
    <row r="836" spans="5:10">
      <c r="E836" s="135"/>
      <c r="F836" s="135"/>
      <c r="G836" s="135"/>
      <c r="H836" s="135"/>
      <c r="I836" s="135"/>
      <c r="J836" s="37"/>
    </row>
    <row r="837" spans="5:10">
      <c r="E837" s="135"/>
      <c r="F837" s="135"/>
      <c r="G837" s="135"/>
      <c r="H837" s="135"/>
      <c r="I837" s="135"/>
      <c r="J837" s="40"/>
    </row>
    <row r="838" spans="5:10">
      <c r="E838" s="135"/>
      <c r="F838" s="135"/>
      <c r="G838" s="135"/>
      <c r="H838" s="135"/>
      <c r="I838" s="135"/>
      <c r="J838" s="37"/>
    </row>
    <row r="839" spans="5:10">
      <c r="E839" s="135"/>
      <c r="F839" s="135"/>
      <c r="G839" s="135"/>
      <c r="H839" s="135"/>
      <c r="I839" s="135"/>
      <c r="J839" s="37"/>
    </row>
    <row r="840" spans="5:10">
      <c r="E840" s="135"/>
      <c r="F840" s="135"/>
      <c r="G840" s="135"/>
      <c r="H840" s="135"/>
      <c r="I840" s="135"/>
      <c r="J840" s="37"/>
    </row>
    <row r="841" spans="5:10">
      <c r="E841" s="135"/>
      <c r="F841" s="135"/>
      <c r="G841" s="135"/>
      <c r="H841" s="135"/>
      <c r="I841" s="135"/>
      <c r="J841" s="40"/>
    </row>
    <row r="842" spans="5:10">
      <c r="E842" s="135"/>
      <c r="F842" s="135"/>
      <c r="G842" s="135"/>
      <c r="H842" s="135"/>
      <c r="I842" s="135"/>
      <c r="J842" s="37"/>
    </row>
    <row r="843" spans="5:10">
      <c r="E843" s="135"/>
      <c r="F843" s="135"/>
      <c r="G843" s="135"/>
      <c r="H843" s="135"/>
      <c r="I843" s="135"/>
      <c r="J843" s="37"/>
    </row>
    <row r="844" spans="5:10">
      <c r="E844" s="135"/>
      <c r="F844" s="135"/>
      <c r="G844" s="135"/>
      <c r="H844" s="135"/>
      <c r="I844" s="135"/>
      <c r="J844" s="37"/>
    </row>
    <row r="845" spans="5:10">
      <c r="E845" s="135"/>
      <c r="F845" s="135"/>
      <c r="G845" s="135"/>
      <c r="H845" s="135"/>
      <c r="I845" s="135"/>
      <c r="J845" s="40"/>
    </row>
    <row r="846" spans="5:10">
      <c r="E846" s="135"/>
      <c r="F846" s="135"/>
      <c r="G846" s="135"/>
      <c r="H846" s="135"/>
      <c r="I846" s="135"/>
      <c r="J846" s="37"/>
    </row>
    <row r="847" spans="5:10">
      <c r="E847" s="135"/>
      <c r="F847" s="135"/>
      <c r="G847" s="135"/>
      <c r="H847" s="135"/>
      <c r="I847" s="135"/>
      <c r="J847" s="40"/>
    </row>
    <row r="848" spans="5:10">
      <c r="E848" s="135"/>
      <c r="F848" s="135"/>
      <c r="G848" s="135"/>
      <c r="H848" s="135"/>
      <c r="I848" s="135"/>
      <c r="J848" s="37"/>
    </row>
    <row r="849" spans="5:10">
      <c r="E849" s="135"/>
      <c r="F849" s="135"/>
      <c r="G849" s="135"/>
      <c r="H849" s="135"/>
      <c r="I849" s="135"/>
      <c r="J849" s="37"/>
    </row>
    <row r="850" spans="5:10">
      <c r="E850" s="135"/>
      <c r="F850" s="135"/>
      <c r="G850" s="135"/>
      <c r="H850" s="135"/>
      <c r="I850" s="135"/>
      <c r="J850" s="37"/>
    </row>
    <row r="851" spans="5:10">
      <c r="E851" s="135"/>
      <c r="F851" s="135"/>
      <c r="G851" s="135"/>
      <c r="H851" s="135"/>
      <c r="I851" s="135"/>
      <c r="J851" s="37"/>
    </row>
    <row r="852" spans="5:10">
      <c r="E852" s="135"/>
      <c r="F852" s="135"/>
      <c r="G852" s="135"/>
      <c r="H852" s="135"/>
      <c r="I852" s="135"/>
      <c r="J852" s="37"/>
    </row>
    <row r="853" spans="5:10">
      <c r="E853" s="135"/>
      <c r="F853" s="135"/>
      <c r="G853" s="135"/>
      <c r="H853" s="135"/>
      <c r="I853" s="135"/>
      <c r="J853" s="37"/>
    </row>
    <row r="854" spans="5:10">
      <c r="E854" s="135"/>
      <c r="F854" s="135"/>
      <c r="G854" s="135"/>
      <c r="H854" s="135"/>
      <c r="I854" s="135"/>
      <c r="J854" s="40"/>
    </row>
    <row r="855" spans="5:10">
      <c r="E855" s="135"/>
      <c r="F855" s="135"/>
      <c r="G855" s="135"/>
      <c r="H855" s="135"/>
      <c r="I855" s="135"/>
      <c r="J855" s="37"/>
    </row>
    <row r="856" spans="5:10">
      <c r="E856" s="135"/>
      <c r="F856" s="135"/>
      <c r="G856" s="135"/>
      <c r="H856" s="135"/>
      <c r="I856" s="135"/>
      <c r="J856" s="37"/>
    </row>
    <row r="857" spans="5:10">
      <c r="E857" s="135"/>
      <c r="F857" s="135"/>
      <c r="G857" s="135"/>
      <c r="H857" s="135"/>
      <c r="I857" s="135"/>
      <c r="J857" s="40"/>
    </row>
    <row r="858" spans="5:10">
      <c r="E858" s="135"/>
      <c r="F858" s="135"/>
      <c r="G858" s="135"/>
      <c r="H858" s="135"/>
      <c r="I858" s="135"/>
      <c r="J858" s="40"/>
    </row>
    <row r="859" spans="5:10">
      <c r="E859" s="135"/>
      <c r="F859" s="135"/>
      <c r="G859" s="135"/>
      <c r="H859" s="135"/>
      <c r="I859" s="135"/>
      <c r="J859" s="37"/>
    </row>
    <row r="860" spans="5:10">
      <c r="E860" s="135"/>
      <c r="F860" s="135"/>
      <c r="G860" s="135"/>
      <c r="H860" s="135"/>
      <c r="I860" s="135"/>
      <c r="J860" s="37"/>
    </row>
    <row r="861" spans="5:10">
      <c r="E861" s="135"/>
      <c r="F861" s="135"/>
      <c r="G861" s="135"/>
      <c r="H861" s="135"/>
      <c r="I861" s="135"/>
      <c r="J861" s="3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파워링크_Summary</vt:lpstr>
      <vt:lpstr>파워링크_상세데이터</vt:lpstr>
      <vt:lpstr>파워링크_키워드_평일</vt:lpstr>
      <vt:lpstr>파워링크_키워드_주말</vt:lpstr>
      <vt:lpstr>파워링크_소재별_주간</vt:lpstr>
      <vt:lpstr>파링_소재 RAW</vt:lpstr>
      <vt:lpstr>파워링크 RAW</vt:lpstr>
      <vt:lpstr>카카오_Summary</vt:lpstr>
      <vt:lpstr>카카오_상세데이터</vt:lpstr>
      <vt:lpstr>카카오_PC키워드_주간</vt:lpstr>
      <vt:lpstr>카카오_MO키워드_주간</vt:lpstr>
      <vt:lpstr>카카오 RAW</vt:lpstr>
      <vt:lpstr>구글_Summary</vt:lpstr>
      <vt:lpstr>구글_PC키워드_주간</vt:lpstr>
      <vt:lpstr>구글_MO키워드_주간</vt:lpstr>
      <vt:lpstr>구글 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채병희</cp:lastModifiedBy>
  <dcterms:created xsi:type="dcterms:W3CDTF">2022-01-28T03:02:39Z</dcterms:created>
  <dcterms:modified xsi:type="dcterms:W3CDTF">2026-06-30T05:02:13Z</dcterms:modified>
</cp:coreProperties>
</file>